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hart4.xml" ContentType="application/vnd.openxmlformats-officedocument.drawingml.chart+xml"/>
  <Override PartName="/xl/charts/colors8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style8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📒 Lançamentos" sheetId="1" state="visible" r:id="rId3"/>
    <sheet name="📐 Distribuição Normal" sheetId="2" state="visible" r:id="rId4"/>
    <sheet name="📈 Estatísticas" sheetId="3" state="visible" r:id="rId5"/>
    <sheet name="⚠️ Outliers" sheetId="4" state="visible" r:id="rId6"/>
    <sheet name="🎛 Dashboard" sheetId="5" state="visible" r:id="rId7"/>
    <sheet name="⚡ Aproveitamento" sheetId="6" state="visible" r:id="rId8"/>
    <sheet name="🔗 Correlação" sheetId="7" state="visible" r:id="rId9"/>
    <sheet name="🔮 Projeçã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<sst xmlns="http://schemas.openxmlformats.org/spreadsheetml/2006/main" count="2995" uniqueCount="606">
  <si>
    <t xml:space="preserve">💰 CONTROLE DE FLUXO DE CAIXA — ANÁLISE ESTATÍSTICA AVANÇADA</t>
  </si>
  <si>
    <t xml:space="preserve">Dados em tempo real · Distribuição Normal · Z-Score · Outliers · KPIs dinâmicos</t>
  </si>
  <si>
    <t xml:space="preserve">  🔵 Azul = Input do usuário   ⚫ Preto = Fórmula automática   🟢 Verde = Link entre abas   🟡 Amarelo = Campo editável   | Vermelho escuro = Outlier (|Z|&gt;2)</t>
  </si>
  <si>
    <t xml:space="preserve">Data</t>
  </si>
  <si>
    <t xml:space="preserve">Descrição</t>
  </si>
  <si>
    <t xml:space="preserve">Categoria</t>
  </si>
  <si>
    <t xml:space="preserve">Subcategoria</t>
  </si>
  <si>
    <t xml:space="preserve">Tipo</t>
  </si>
  <si>
    <t xml:space="preserve">Valor (R$)</t>
  </si>
  <si>
    <t xml:space="preserve">Orçado (R$)</t>
  </si>
  <si>
    <t xml:space="preserve">Método</t>
  </si>
  <si>
    <t xml:space="preserve">Recorrente?</t>
  </si>
  <si>
    <t xml:space="preserve">Var. R$</t>
  </si>
  <si>
    <t xml:space="preserve">Var. %</t>
  </si>
  <si>
    <t xml:space="preserve">Z-Score</t>
  </si>
  <si>
    <t xml:space="preserve">Outlier?</t>
  </si>
  <si>
    <t xml:space="preserve">Aproveit. %</t>
  </si>
  <si>
    <t xml:space="preserve">ID</t>
  </si>
  <si>
    <t xml:space="preserve">2025-01-03</t>
  </si>
  <si>
    <t xml:space="preserve">Pedágio - Transporte</t>
  </si>
  <si>
    <t xml:space="preserve">Transporte</t>
  </si>
  <si>
    <t xml:space="preserve">Manutenção</t>
  </si>
  <si>
    <t xml:space="preserve">SAÍDA</t>
  </si>
  <si>
    <t xml:space="preserve">Dinheiro</t>
  </si>
  <si>
    <t xml:space="preserve">Não</t>
  </si>
  <si>
    <t xml:space="preserve">OK</t>
  </si>
  <si>
    <t xml:space="preserve">Farmácia - Saúde</t>
  </si>
  <si>
    <t xml:space="preserve">Saúde</t>
  </si>
  <si>
    <t xml:space="preserve">Plano</t>
  </si>
  <si>
    <t xml:space="preserve">TED</t>
  </si>
  <si>
    <t xml:space="preserve">Cinema - Lazer</t>
  </si>
  <si>
    <t xml:space="preserve">Lazer</t>
  </si>
  <si>
    <t xml:space="preserve">Bares</t>
  </si>
  <si>
    <t xml:space="preserve">Crédito</t>
  </si>
  <si>
    <t xml:space="preserve">Sim</t>
  </si>
  <si>
    <t xml:space="preserve">Curso - Educação</t>
  </si>
  <si>
    <t xml:space="preserve">Educação</t>
  </si>
  <si>
    <t xml:space="preserve">Curso</t>
  </si>
  <si>
    <t xml:space="preserve">Débito</t>
  </si>
  <si>
    <t xml:space="preserve">2025-01-04</t>
  </si>
  <si>
    <t xml:space="preserve">Aluguel - Moradia</t>
  </si>
  <si>
    <t xml:space="preserve">Moradia</t>
  </si>
  <si>
    <t xml:space="preserve">Água</t>
  </si>
  <si>
    <t xml:space="preserve">PIX</t>
  </si>
  <si>
    <t xml:space="preserve">2025-01-05</t>
  </si>
  <si>
    <t xml:space="preserve">Salário Mês 01</t>
  </si>
  <si>
    <t xml:space="preserve">Receitas</t>
  </si>
  <si>
    <t xml:space="preserve">Salário</t>
  </si>
  <si>
    <t xml:space="preserve">ENTRADA</t>
  </si>
  <si>
    <t xml:space="preserve">-</t>
  </si>
  <si>
    <t xml:space="preserve">2025-01-07</t>
  </si>
  <si>
    <t xml:space="preserve">Restaurante - Alimentação</t>
  </si>
  <si>
    <t xml:space="preserve">Alimentação</t>
  </si>
  <si>
    <t xml:space="preserve">Feira</t>
  </si>
  <si>
    <t xml:space="preserve">Internet - Moradia</t>
  </si>
  <si>
    <t xml:space="preserve">Plano - Saúde</t>
  </si>
  <si>
    <t xml:space="preserve">Consulta - Saúde</t>
  </si>
  <si>
    <t xml:space="preserve">2025-01-08</t>
  </si>
  <si>
    <t xml:space="preserve">Restaurante</t>
  </si>
  <si>
    <t xml:space="preserve">Streaming - Lazer</t>
  </si>
  <si>
    <t xml:space="preserve">Viagem</t>
  </si>
  <si>
    <t xml:space="preserve">Faculdade - Educação</t>
  </si>
  <si>
    <t xml:space="preserve">Certificação</t>
  </si>
  <si>
    <t xml:space="preserve">2025-01-09</t>
  </si>
  <si>
    <t xml:space="preserve">Condomínio - Moradia</t>
  </si>
  <si>
    <t xml:space="preserve">Condomínio</t>
  </si>
  <si>
    <t xml:space="preserve">2025-01-10</t>
  </si>
  <si>
    <t xml:space="preserve">Freelance/Renda Extra</t>
  </si>
  <si>
    <t xml:space="preserve">Freelance</t>
  </si>
  <si>
    <t xml:space="preserve">2025-01-12</t>
  </si>
  <si>
    <t xml:space="preserve">Livros - Educação</t>
  </si>
  <si>
    <t xml:space="preserve">Livros</t>
  </si>
  <si>
    <t xml:space="preserve">2025-01-13</t>
  </si>
  <si>
    <t xml:space="preserve">Certificação - Educação</t>
  </si>
  <si>
    <t xml:space="preserve">2025-01-14</t>
  </si>
  <si>
    <t xml:space="preserve">Roupas - Outros</t>
  </si>
  <si>
    <t xml:space="preserve">Outros</t>
  </si>
  <si>
    <t xml:space="preserve">Pets</t>
  </si>
  <si>
    <t xml:space="preserve">2025-01-15</t>
  </si>
  <si>
    <t xml:space="preserve">Luz</t>
  </si>
  <si>
    <t xml:space="preserve">Farmácia</t>
  </si>
  <si>
    <t xml:space="preserve">2025-01-17</t>
  </si>
  <si>
    <t xml:space="preserve">Assinaturas</t>
  </si>
  <si>
    <t xml:space="preserve">2025-01-18</t>
  </si>
  <si>
    <t xml:space="preserve">Renda Fixa - Investimentos</t>
  </si>
  <si>
    <t xml:space="preserve">Investimentos</t>
  </si>
  <si>
    <t xml:space="preserve">Renda Fixa</t>
  </si>
  <si>
    <t xml:space="preserve">2025-01-19</t>
  </si>
  <si>
    <t xml:space="preserve">Padaria - Alimentação</t>
  </si>
  <si>
    <t xml:space="preserve">Mercado</t>
  </si>
  <si>
    <t xml:space="preserve">2025-01-20</t>
  </si>
  <si>
    <t xml:space="preserve">Cripto</t>
  </si>
  <si>
    <t xml:space="preserve">Cripto - Investimentos</t>
  </si>
  <si>
    <t xml:space="preserve">Previdência</t>
  </si>
  <si>
    <t xml:space="preserve">2025-01-21</t>
  </si>
  <si>
    <t xml:space="preserve">Bares - Lazer</t>
  </si>
  <si>
    <t xml:space="preserve">Cinema</t>
  </si>
  <si>
    <t xml:space="preserve">2025-01-24</t>
  </si>
  <si>
    <t xml:space="preserve">Seguro - Transporte</t>
  </si>
  <si>
    <t xml:space="preserve">Pedágio</t>
  </si>
  <si>
    <t xml:space="preserve">2025-01-25</t>
  </si>
  <si>
    <t xml:space="preserve">FII - Investimentos</t>
  </si>
  <si>
    <t xml:space="preserve">FII</t>
  </si>
  <si>
    <t xml:space="preserve">2025-01-27</t>
  </si>
  <si>
    <t xml:space="preserve">Assinaturas - Outros</t>
  </si>
  <si>
    <t xml:space="preserve">2025-01-28</t>
  </si>
  <si>
    <t xml:space="preserve">Manutenção - Transporte</t>
  </si>
  <si>
    <t xml:space="preserve">2025-02-01</t>
  </si>
  <si>
    <t xml:space="preserve">Exames - Saúde</t>
  </si>
  <si>
    <t xml:space="preserve">Exames</t>
  </si>
  <si>
    <t xml:space="preserve">2025-02-02</t>
  </si>
  <si>
    <t xml:space="preserve">Internet</t>
  </si>
  <si>
    <t xml:space="preserve">2025-02-03</t>
  </si>
  <si>
    <t xml:space="preserve">Água - Moradia</t>
  </si>
  <si>
    <t xml:space="preserve">Aluguel</t>
  </si>
  <si>
    <t xml:space="preserve">Faculdade</t>
  </si>
  <si>
    <t xml:space="preserve">2025-02-04</t>
  </si>
  <si>
    <t xml:space="preserve">2025-02-05</t>
  </si>
  <si>
    <t xml:space="preserve">Salário Mês 02</t>
  </si>
  <si>
    <t xml:space="preserve">2025-02-07</t>
  </si>
  <si>
    <t xml:space="preserve">Ações - Investimentos</t>
  </si>
  <si>
    <t xml:space="preserve">2025-02-12</t>
  </si>
  <si>
    <t xml:space="preserve">2025-02-13</t>
  </si>
  <si>
    <t xml:space="preserve">Academia</t>
  </si>
  <si>
    <t xml:space="preserve">2025-02-14</t>
  </si>
  <si>
    <t xml:space="preserve">Eletrônicos</t>
  </si>
  <si>
    <t xml:space="preserve">2025-02-16</t>
  </si>
  <si>
    <t xml:space="preserve">Mercado - Alimentação</t>
  </si>
  <si>
    <t xml:space="preserve">2025-02-17</t>
  </si>
  <si>
    <t xml:space="preserve">Seguro</t>
  </si>
  <si>
    <t xml:space="preserve">2025-02-18</t>
  </si>
  <si>
    <t xml:space="preserve">Feira - Alimentação</t>
  </si>
  <si>
    <t xml:space="preserve">2025-02-26</t>
  </si>
  <si>
    <t xml:space="preserve">2025-02-28</t>
  </si>
  <si>
    <t xml:space="preserve">Presentes - Outros</t>
  </si>
  <si>
    <t xml:space="preserve">2025-03-02</t>
  </si>
  <si>
    <t xml:space="preserve">Padaria</t>
  </si>
  <si>
    <t xml:space="preserve">2025-03-03</t>
  </si>
  <si>
    <t xml:space="preserve">Academia - Saúde</t>
  </si>
  <si>
    <t xml:space="preserve">2025-03-04</t>
  </si>
  <si>
    <t xml:space="preserve">2025-03-05</t>
  </si>
  <si>
    <t xml:space="preserve">Salário Mês 03</t>
  </si>
  <si>
    <t xml:space="preserve">Delivery</t>
  </si>
  <si>
    <t xml:space="preserve">2025-03-06</t>
  </si>
  <si>
    <t xml:space="preserve">Hobbies - Lazer</t>
  </si>
  <si>
    <t xml:space="preserve">2025-03-09</t>
  </si>
  <si>
    <t xml:space="preserve">Consulta</t>
  </si>
  <si>
    <t xml:space="preserve">2025-03-10</t>
  </si>
  <si>
    <t xml:space="preserve">2025-03-12</t>
  </si>
  <si>
    <t xml:space="preserve">2025-03-13</t>
  </si>
  <si>
    <t xml:space="preserve">2025-03-14</t>
  </si>
  <si>
    <t xml:space="preserve">Presentes</t>
  </si>
  <si>
    <t xml:space="preserve">2025-03-17</t>
  </si>
  <si>
    <t xml:space="preserve">2025-03-18</t>
  </si>
  <si>
    <t xml:space="preserve">2025-03-19</t>
  </si>
  <si>
    <t xml:space="preserve">Uber/99 - Transporte</t>
  </si>
  <si>
    <t xml:space="preserve">2025-03-20</t>
  </si>
  <si>
    <t xml:space="preserve">2025-03-23</t>
  </si>
  <si>
    <t xml:space="preserve">2025-03-24</t>
  </si>
  <si>
    <t xml:space="preserve">2025-03-25</t>
  </si>
  <si>
    <t xml:space="preserve">2025-03-27</t>
  </si>
  <si>
    <t xml:space="preserve">2025-04-03</t>
  </si>
  <si>
    <t xml:space="preserve">2025-04-05</t>
  </si>
  <si>
    <t xml:space="preserve">Salário Mês 04</t>
  </si>
  <si>
    <t xml:space="preserve">2025-04-07</t>
  </si>
  <si>
    <t xml:space="preserve">2025-04-08</t>
  </si>
  <si>
    <t xml:space="preserve">Combustível - Transporte</t>
  </si>
  <si>
    <t xml:space="preserve">Uber/99</t>
  </si>
  <si>
    <t xml:space="preserve">2025-04-09</t>
  </si>
  <si>
    <t xml:space="preserve">2025-04-10</t>
  </si>
  <si>
    <t xml:space="preserve">Ações</t>
  </si>
  <si>
    <t xml:space="preserve">2025-04-12</t>
  </si>
  <si>
    <t xml:space="preserve">2025-04-14</t>
  </si>
  <si>
    <t xml:space="preserve">2025-04-15</t>
  </si>
  <si>
    <t xml:space="preserve">Pets - Outros</t>
  </si>
  <si>
    <t xml:space="preserve">Roupas</t>
  </si>
  <si>
    <t xml:space="preserve">2025-04-17</t>
  </si>
  <si>
    <t xml:space="preserve">2025-04-20</t>
  </si>
  <si>
    <t xml:space="preserve">2025-04-22</t>
  </si>
  <si>
    <t xml:space="preserve">2025-04-26</t>
  </si>
  <si>
    <t xml:space="preserve">Previdência - Investimentos</t>
  </si>
  <si>
    <t xml:space="preserve">2025-04-27</t>
  </si>
  <si>
    <t xml:space="preserve">2025-04-28</t>
  </si>
  <si>
    <t xml:space="preserve">2025-05-01</t>
  </si>
  <si>
    <t xml:space="preserve">2025-05-02</t>
  </si>
  <si>
    <t xml:space="preserve">2025-05-05</t>
  </si>
  <si>
    <t xml:space="preserve">Salário Mês 05</t>
  </si>
  <si>
    <t xml:space="preserve">2025-05-06</t>
  </si>
  <si>
    <t xml:space="preserve">2025-05-07</t>
  </si>
  <si>
    <t xml:space="preserve">Hobbies</t>
  </si>
  <si>
    <t xml:space="preserve">2025-05-11</t>
  </si>
  <si>
    <t xml:space="preserve">Combustível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</si>
  <si>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</si>
  <si>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</si>
  <si>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</si>
  <si>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</si>
  <si>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</si>
  <si>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</si>
  <si>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</si>
  <si>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Luz - Moradia</t>
  </si>
  <si>
    <t xml:space="preserve">⚠ SIM</t>
  </si>
  <si>
    <t xml:space="preserve">2025-05-21</t>
  </si>
  <si>
    <t xml:space="preserve">2025-05-23</t>
  </si>
  <si>
    <t xml:space="preserve">2025-05-25</t>
  </si>
  <si>
    <t xml:space="preserve">2025-05-26</t>
  </si>
  <si>
    <t xml:space="preserve">2025-05-27</t>
  </si>
  <si>
    <t xml:space="preserve">2025-06-01</t>
  </si>
  <si>
    <t xml:space="preserve">2025-06-03</t>
  </si>
  <si>
    <t xml:space="preserve">2025-06-05</t>
  </si>
  <si>
    <t xml:space="preserve">Salário Mês 06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</si>
  <si>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</si>
  <si>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</si>
  <si>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</si>
  <si>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</si>
  <si>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Eletrônicos - Outros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</si>
  <si>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</si>
  <si>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</si>
  <si>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</si>
  <si>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</si>
  <si>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</si>
  <si>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</si>
  <si>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2025-06-19</t>
  </si>
  <si>
    <t xml:space="preserve">2025-06-20</t>
  </si>
  <si>
    <t xml:space="preserve">2025-06-21</t>
  </si>
  <si>
    <t xml:space="preserve">Viagem - Lazer</t>
  </si>
  <si>
    <t xml:space="preserve">2025-06-22</t>
  </si>
  <si>
    <t xml:space="preserve">2025-06-23</t>
  </si>
  <si>
    <t xml:space="preserve">2025-06-26</t>
  </si>
  <si>
    <t xml:space="preserve">2025-06-28</t>
  </si>
  <si>
    <t xml:space="preserve">Streaming</t>
  </si>
  <si>
    <t xml:space="preserve">2025-07-01</t>
  </si>
  <si>
    <t xml:space="preserve">2025-07-02</t>
  </si>
  <si>
    <t xml:space="preserve">2025-07-05</t>
  </si>
  <si>
    <t xml:space="preserve">Salário Mês 07</t>
  </si>
  <si>
    <t xml:space="preserve">2025-07-08</t>
  </si>
  <si>
    <t xml:space="preserve">2025-07-09</t>
  </si>
  <si>
    <t xml:space="preserve">2025-07-10</t>
  </si>
  <si>
    <t xml:space="preserve">2025-07-15</t>
  </si>
  <si>
    <t xml:space="preserve">2025-07-16</t>
  </si>
  <si>
    <t xml:space="preserve">2025-07-18</t>
  </si>
  <si>
    <t xml:space="preserve">2025-07-20</t>
  </si>
  <si>
    <t xml:space="preserve">2025-07-24</t>
  </si>
  <si>
    <t xml:space="preserve">2025-07-28</t>
  </si>
  <si>
    <t xml:space="preserve">2025-08-02</t>
  </si>
  <si>
    <t xml:space="preserve">2025-08-03</t>
  </si>
  <si>
    <t xml:space="preserve">2025-08-05</t>
  </si>
  <si>
    <t xml:space="preserve">Salário Mês 08</t>
  </si>
  <si>
    <t xml:space="preserve">2025-08-07</t>
  </si>
  <si>
    <t xml:space="preserve">2025-08-09</t>
  </si>
  <si>
    <t xml:space="preserve">2025-08-10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</si>
  <si>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</si>
  <si>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</si>
  <si>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</si>
  <si>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</si>
  <si>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</si>
  <si>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</si>
  <si>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</si>
  <si>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</si>
  <si>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</si>
  <si>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</si>
  <si>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2025-09-02</t>
  </si>
  <si>
    <t xml:space="preserve">2025-09-03</t>
  </si>
  <si>
    <t xml:space="preserve">2025-09-05</t>
  </si>
  <si>
    <t xml:space="preserve">Salário Mês 09</t>
  </si>
  <si>
    <t xml:space="preserve">2025-09-08</t>
  </si>
  <si>
    <t xml:space="preserve">2025-09-09</t>
  </si>
  <si>
    <t xml:space="preserve">2025-09-11</t>
  </si>
  <si>
    <t xml:space="preserve">2025-09-12</t>
  </si>
  <si>
    <t xml:space="preserve">2025-09-14</t>
  </si>
  <si>
    <t xml:space="preserve">2025-09-18</t>
  </si>
  <si>
    <t xml:space="preserve">2025-09-21</t>
  </si>
  <si>
    <t xml:space="preserve">2025-09-23</t>
  </si>
  <si>
    <t xml:space="preserve">2025-09-24</t>
  </si>
  <si>
    <t xml:space="preserve">2025-09-26</t>
  </si>
  <si>
    <t xml:space="preserve">2025-09-27</t>
  </si>
  <si>
    <t xml:space="preserve">2025-09-28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</si>
  <si>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</si>
  <si>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</si>
  <si>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</si>
  <si>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</si>
  <si>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</si>
  <si>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Salário Mês 10</t>
  </si>
  <si>
    <t xml:space="preserve">2025-10-06</t>
  </si>
  <si>
    <t xml:space="preserve">2025-10-08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</si>
  <si>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</si>
  <si>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</si>
  <si>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</si>
  <si>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</si>
  <si>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2025-10-15</t>
  </si>
  <si>
    <t xml:space="preserve">2025-10-16</t>
  </si>
  <si>
    <t xml:space="preserve">2025-10-19</t>
  </si>
  <si>
    <t xml:space="preserve">2025-10-21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</si>
  <si>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</si>
  <si>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</si>
  <si>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</si>
  <si>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</si>
  <si>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</si>
  <si>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2025-11-02</t>
  </si>
  <si>
    <t xml:space="preserve">2025-11-04</t>
  </si>
  <si>
    <t xml:space="preserve">2025-11-05</t>
  </si>
  <si>
    <t xml:space="preserve">Salário Mês 11</t>
  </si>
  <si>
    <t xml:space="preserve">2025-11-08</t>
  </si>
  <si>
    <t xml:space="preserve">2025-11-11</t>
  </si>
  <si>
    <t xml:space="preserve">2025-11-15</t>
  </si>
  <si>
    <t xml:space="preserve">2025-11-20</t>
  </si>
  <si>
    <t xml:space="preserve">2025-11-23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</si>
  <si>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</si>
  <si>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</si>
  <si>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</si>
  <si>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</si>
  <si>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</si>
  <si>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</si>
  <si>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</si>
  <si>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2025-12-05</t>
  </si>
  <si>
    <t xml:space="preserve">Salário Mês 12</t>
  </si>
  <si>
    <t xml:space="preserve">2025-12-06</t>
  </si>
  <si>
    <t xml:space="preserve">2025-12-10</t>
  </si>
  <si>
    <t xml:space="preserve">2025-12-11</t>
  </si>
  <si>
    <t xml:space="preserve">2025-12-12</t>
  </si>
  <si>
    <t xml:space="preserve">2025-12-14</t>
  </si>
  <si>
    <t xml:space="preserve">2025-12-15</t>
  </si>
  <si>
    <t xml:space="preserve">2025-12-17</t>
  </si>
  <si>
    <t xml:space="preserve">2025-12-20</t>
  </si>
  <si>
    <t xml:space="preserve">2025-12-22</t>
  </si>
  <si>
    <t xml:space="preserve">2025-12-23</t>
  </si>
  <si>
    <t xml:space="preserve">2025-12-26</t>
  </si>
  <si>
    <t xml:space="preserve">2025-12-27</t>
  </si>
  <si>
    <t xml:space="preserve">2025-12-28</t>
  </si>
  <si>
    <t xml:space="preserve">📐 DISTRIBUIÇÃO NORMAL DOS GASTOS — ANÁLISE PROBABILÍSTICA</t>
  </si>
  <si>
    <t xml:space="preserve">Curva de Gauss · Z-Scores · Probabilidades · Intervalos de Confiança · Percentis</t>
  </si>
  <si>
    <t xml:space="preserve">⚙️ PARÂMETROS DA DISTRIBUIÇÃO</t>
  </si>
  <si>
    <t xml:space="preserve">📊 DADOS DA CURVA NORMAL (para gráfico)</t>
  </si>
  <si>
    <t xml:space="preserve">Média (μ)</t>
  </si>
  <si>
    <t xml:space="preserve">X (R$)</t>
  </si>
  <si>
    <t xml:space="preserve">PDF Normal</t>
  </si>
  <si>
    <t xml:space="preserve">PDF Empírico</t>
  </si>
  <si>
    <t xml:space="preserve">CDF Normal</t>
  </si>
  <si>
    <t xml:space="preserve">Área Acum.</t>
  </si>
  <si>
    <t xml:space="preserve">Desvio Padrão (σ)</t>
  </si>
  <si>
    <t xml:space="preserve">N de Observações</t>
  </si>
  <si>
    <t xml:space="preserve">Variância (σ²)</t>
  </si>
  <si>
    <t xml:space="preserve">Coef. Variação (CV)</t>
  </si>
  <si>
    <t xml:space="preserve">Assimetria (Skewness)</t>
  </si>
  <si>
    <t xml:space="preserve">Curtose (Kurtosis)</t>
  </si>
  <si>
    <t xml:space="preserve">Erro Padrão (SE)</t>
  </si>
  <si>
    <t xml:space="preserve">IC 95% — Inferior</t>
  </si>
  <si>
    <t xml:space="preserve">IC 95% — Superior</t>
  </si>
  <si>
    <t xml:space="preserve">IC 99% — Inferior</t>
  </si>
  <si>
    <t xml:space="preserve">IC 99% — Superior</t>
  </si>
  <si>
    <t xml:space="preserve">📏 ZONAS DE Z-SCORE</t>
  </si>
  <si>
    <t xml:space="preserve">Zona Z</t>
  </si>
  <si>
    <t xml:space="preserve">Classificação</t>
  </si>
  <si>
    <t xml:space="preserve">% Probabilidade</t>
  </si>
  <si>
    <t xml:space="preserve">Z &lt; -3</t>
  </si>
  <si>
    <t xml:space="preserve">Extremamente Abaixo</t>
  </si>
  <si>
    <t xml:space="preserve">0.13%</t>
  </si>
  <si>
    <t xml:space="preserve">-3 ≤ Z &lt; -2</t>
  </si>
  <si>
    <t xml:space="preserve">Muito Abaixo</t>
  </si>
  <si>
    <t xml:space="preserve">2.14%</t>
  </si>
  <si>
    <t xml:space="preserve">-2 ≤ Z &lt; -1</t>
  </si>
  <si>
    <t xml:space="preserve">Abaixo</t>
  </si>
  <si>
    <t xml:space="preserve">13.59%</t>
  </si>
  <si>
    <t xml:space="preserve">-1 ≤ Z ≤ +1</t>
  </si>
  <si>
    <t xml:space="preserve">Normal (68.27%)</t>
  </si>
  <si>
    <t xml:space="preserve">68.27%</t>
  </si>
  <si>
    <t xml:space="preserve">+1 &lt; Z ≤ +2</t>
  </si>
  <si>
    <t xml:space="preserve">Acima</t>
  </si>
  <si>
    <t xml:space="preserve">+2 &lt; Z ≤ +3</t>
  </si>
  <si>
    <t xml:space="preserve">Muito Acima</t>
  </si>
  <si>
    <t xml:space="preserve">Z &gt; +3</t>
  </si>
  <si>
    <t xml:space="preserve">Outlier Extremo</t>
  </si>
  <si>
    <t xml:space="preserve">📊 PERCENTIS DOS GASTOS</t>
  </si>
  <si>
    <t xml:space="preserve">Percentil</t>
  </si>
  <si>
    <t xml:space="preserve">Interpretação</t>
  </si>
  <si>
    <t xml:space="preserve">P5</t>
  </si>
  <si>
    <t xml:space="preserve">Piso absoluto</t>
  </si>
  <si>
    <t xml:space="preserve">P10</t>
  </si>
  <si>
    <t xml:space="preserve">10% dos gastos abaixo</t>
  </si>
  <si>
    <t xml:space="preserve">P25</t>
  </si>
  <si>
    <t xml:space="preserve">1º Quartil</t>
  </si>
  <si>
    <t xml:space="preserve">P50</t>
  </si>
  <si>
    <t xml:space="preserve">Mediana</t>
  </si>
  <si>
    <t xml:space="preserve">P75</t>
  </si>
  <si>
    <t xml:space="preserve">3º Quartil</t>
  </si>
  <si>
    <t xml:space="preserve">P90</t>
  </si>
  <si>
    <t xml:space="preserve">90% dos gastos abaixo</t>
  </si>
  <si>
    <t xml:space="preserve">P95</t>
  </si>
  <si>
    <t xml:space="preserve">Teto superior</t>
  </si>
  <si>
    <t xml:space="preserve">P99</t>
  </si>
  <si>
    <t xml:space="preserve">Outlier crítico</t>
  </si>
  <si>
    <t xml:space="preserve">📈 ESTATÍSTICAS AVANÇADAS — ANÁLISE COMPLETA DO FLUXO DE CAIXA</t>
  </si>
  <si>
    <t xml:space="preserve">Testes de Normalidade · Regressão · Correlação · Médias Móveis · Análise de Variância</t>
  </si>
  <si>
    <t xml:space="preserve">💰 RESUMO FINANCEIRO ANUAL</t>
  </si>
  <si>
    <t xml:space="preserve">🧪 TESTES DE NORMALIDADE</t>
  </si>
  <si>
    <t xml:space="preserve">Total Entradas</t>
  </si>
  <si>
    <t xml:space="preserve">Teste</t>
  </si>
  <si>
    <t xml:space="preserve">Estatística</t>
  </si>
  <si>
    <t xml:space="preserve">p-valor</t>
  </si>
  <si>
    <t xml:space="preserve">α = 0.05</t>
  </si>
  <si>
    <t xml:space="preserve">Conclusão</t>
  </si>
  <si>
    <t xml:space="preserve">Total Saídas</t>
  </si>
  <si>
    <t xml:space="preserve">Shapiro-Wilk</t>
  </si>
  <si>
    <t xml:space="preserve">0.00000000</t>
  </si>
  <si>
    <t xml:space="preserve">0.05</t>
  </si>
  <si>
    <t xml:space="preserve">⚠️ Não-Normal</t>
  </si>
  <si>
    <t xml:space="preserve">Saldo Líquido</t>
  </si>
  <si>
    <t xml:space="preserve">Kolmogorov-Smirnov</t>
  </si>
  <si>
    <t xml:space="preserve">Taxa de Poupança</t>
  </si>
  <si>
    <t xml:space="preserve">D'Agostino-Pearson</t>
  </si>
  <si>
    <t xml:space="preserve">Nº Transações</t>
  </si>
  <si>
    <t xml:space="preserve">Jarque-Bera</t>
  </si>
  <si>
    <t xml:space="preserve">Nº Outliers</t>
  </si>
  <si>
    <t xml:space="preserve">Anderson-Darling</t>
  </si>
  <si>
    <t xml:space="preserve">—</t>
  </si>
  <si>
    <t xml:space="preserve">Gasto Médio/Mês</t>
  </si>
  <si>
    <t xml:space="preserve">Maior Gasto</t>
  </si>
  <si>
    <t xml:space="preserve">📉 ANÁLISE DE REGRESSÃO LINEAR (Tendência Mensal)</t>
  </si>
  <si>
    <t xml:space="preserve">Menor Gasto</t>
  </si>
  <si>
    <t xml:space="preserve">Parâmetro</t>
  </si>
  <si>
    <t xml:space="preserve">Saídas</t>
  </si>
  <si>
    <t xml:space="preserve">Entradas</t>
  </si>
  <si>
    <t xml:space="preserve">Inclinação (β₁)</t>
  </si>
  <si>
    <t xml:space="preserve">📐 ESTATÍSTICAS DESCRITIVAS COMPLETAS</t>
  </si>
  <si>
    <t xml:space="preserve">Intercepto (β₀)</t>
  </si>
  <si>
    <t xml:space="preserve">R² (Coef. Det.)</t>
  </si>
  <si>
    <t xml:space="preserve">Centro da distribuição</t>
  </si>
  <si>
    <t xml:space="preserve">R (Correlação)</t>
  </si>
  <si>
    <t xml:space="preserve">Valor central resistente a outliers</t>
  </si>
  <si>
    <t xml:space="preserve">Moda Aprox.</t>
  </si>
  <si>
    <t xml:space="preserve">Valor mais frequente</t>
  </si>
  <si>
    <t xml:space="preserve">Erro Padrão</t>
  </si>
  <si>
    <t xml:space="preserve">Dispersão em torno da média</t>
  </si>
  <si>
    <t xml:space="preserve">Tendência</t>
  </si>
  <si>
    <t xml:space="preserve">Crescente</t>
  </si>
  <si>
    <t xml:space="preserve">Quadrado do desvio padrão</t>
  </si>
  <si>
    <t xml:space="preserve">CV (%)</t>
  </si>
  <si>
    <t xml:space="preserve">Dispersão relativa</t>
  </si>
  <si>
    <t xml:space="preserve">📅 SÉRIE TEMPORAL MENSAL + REGRESSÃO</t>
  </si>
  <si>
    <t xml:space="preserve">Skewness</t>
  </si>
  <si>
    <t xml:space="preserve">&gt;0 cauda direita, &lt;0 cauda esquerda</t>
  </si>
  <si>
    <t xml:space="preserve">Mês</t>
  </si>
  <si>
    <t xml:space="preserve">N°</t>
  </si>
  <si>
    <t xml:space="preserve">Saídas (R$)</t>
  </si>
  <si>
    <t xml:space="preserve">Entradas (R$)</t>
  </si>
  <si>
    <t xml:space="preserve">Saldo (R$)</t>
  </si>
  <si>
    <t xml:space="preserve">Trend Saídas</t>
  </si>
  <si>
    <t xml:space="preserve">M.Móvel 3M Saídas</t>
  </si>
  <si>
    <t xml:space="preserve">Kurtosis</t>
  </si>
  <si>
    <t xml:space="preserve">&gt;0 leptocúrtica, &lt;0 platicúrtica</t>
  </si>
  <si>
    <t xml:space="preserve">Jan</t>
  </si>
  <si>
    <t xml:space="preserve">Mínimo</t>
  </si>
  <si>
    <t xml:space="preserve">Valor mínimo observado</t>
  </si>
  <si>
    <t xml:space="preserve">Fev</t>
  </si>
  <si>
    <t xml:space="preserve">Máximo</t>
  </si>
  <si>
    <t xml:space="preserve">Valor máximo observado</t>
  </si>
  <si>
    <t xml:space="preserve">Mar</t>
  </si>
  <si>
    <t xml:space="preserve">Amplitude</t>
  </si>
  <si>
    <t xml:space="preserve">Max − Min</t>
  </si>
  <si>
    <t xml:space="preserve">Abr</t>
  </si>
  <si>
    <t xml:space="preserve">Q1 (P25)</t>
  </si>
  <si>
    <t xml:space="preserve">25% dos valores abaixo</t>
  </si>
  <si>
    <t xml:space="preserve">Mai</t>
  </si>
  <si>
    <t xml:space="preserve">Q3 (P75)</t>
  </si>
  <si>
    <t xml:space="preserve">75% dos valores abaixo</t>
  </si>
  <si>
    <t xml:space="preserve">Jun</t>
  </si>
  <si>
    <t xml:space="preserve">IQR</t>
  </si>
  <si>
    <t xml:space="preserve">Q3 − Q1, resistente a outliers</t>
  </si>
  <si>
    <t xml:space="preserve">Jul</t>
  </si>
  <si>
    <t xml:space="preserve">Precisão da estimativa da média</t>
  </si>
  <si>
    <t xml:space="preserve">Ago</t>
  </si>
  <si>
    <t xml:space="preserve">IC 95% Inf.</t>
  </si>
  <si>
    <t xml:space="preserve">Limite inferior do intervalo de confiança</t>
  </si>
  <si>
    <t xml:space="preserve">Set</t>
  </si>
  <si>
    <t xml:space="preserve">IC 95% Sup.</t>
  </si>
  <si>
    <t xml:space="preserve">Limite superior do intervalo de confiança</t>
  </si>
  <si>
    <t xml:space="preserve">Out</t>
  </si>
  <si>
    <t xml:space="preserve">Nov</t>
  </si>
  <si>
    <t xml:space="preserve">Dez</t>
  </si>
  <si>
    <t xml:space="preserve">⚠️ ANÁLISE DE OUTLIERS E Z-SCORES — GASTOS ANÔMALOS</t>
  </si>
  <si>
    <t xml:space="preserve">Identifica gastos fora do padrão estatístico · Z &gt; ±2σ = Atenção · Z &gt; ±3σ = Outlier Crítico</t>
  </si>
  <si>
    <t xml:space="preserve">🎯 PARÂMETROS DA DETECÇÃO</t>
  </si>
  <si>
    <t xml:space="preserve">Média das Saídas (μ)</t>
  </si>
  <si>
    <t xml:space="preserve">Limite Inf. 2σ (μ-2σ)</t>
  </si>
  <si>
    <t xml:space="preserve">Limite Sup. 2σ (μ+2σ)</t>
  </si>
  <si>
    <t xml:space="preserve">Limite Sup. 3σ (μ+3σ)</t>
  </si>
  <si>
    <t xml:space="preserve">Total Outliers (|Z|&gt;2)</t>
  </si>
  <si>
    <t xml:space="preserve">% Outliers</t>
  </si>
  <si>
    <t xml:space="preserve">📋 TRANSAÇÕES COM Z-SCORE ELEVADO (|Z| &gt; 1.5) — 14 encontradas</t>
  </si>
  <si>
    <t xml:space="preserve">#</t>
  </si>
  <si>
    <t xml:space="preserve">|Z|</t>
  </si>
  <si>
    <t xml:space="preserve">μ - Valor</t>
  </si>
  <si>
    <t xml:space="preserve">% acima μ</t>
  </si>
  <si>
    <t xml:space="preserve">Risco</t>
  </si>
  <si>
    <t xml:space="preserve">Ação Sugerida</t>
  </si>
  <si>
    <t xml:space="preserve">🔴 CRÍTICO</t>
  </si>
  <si>
    <t xml:space="preserve">Investigar imediatamente</t>
  </si>
  <si>
    <t xml:space="preserve">🟠 ALTO</t>
  </si>
  <si>
    <t xml:space="preserve">Revisar necessidade</t>
  </si>
  <si>
    <t xml:space="preserve">🟡 MÉDIO</t>
  </si>
  <si>
    <t xml:space="preserve">Monitorar</t>
  </si>
  <si>
    <t xml:space="preserve">🎛 DASHBOARD EXECUTIVO — VISÃO COMPLETA DO FLUXO DE CAIXA</t>
  </si>
  <si>
    <t xml:space="preserve">KPIs · Aproveitamento · Distribuição por Categoria · Tendência Anual</t>
  </si>
  <si>
    <t xml:space="preserve">💰 ENTRADAS</t>
  </si>
  <si>
    <t xml:space="preserve">💸 SAÍDAS</t>
  </si>
  <si>
    <t xml:space="preserve">💼 SALDO</t>
  </si>
  <si>
    <t xml:space="preserve">📊 POUPAR</t>
  </si>
  <si>
    <t xml:space="preserve">⚠️ OUTLIERS</t>
  </si>
  <si>
    <t xml:space="preserve">R$ 114,215</t>
  </si>
  <si>
    <t xml:space="preserve">R$ 88,887</t>
  </si>
  <si>
    <t xml:space="preserve">R$ 25,329</t>
  </si>
  <si>
    <t xml:space="preserve">22.2%</t>
  </si>
  <si>
    <t xml:space="preserve">7</t>
  </si>
  <si>
    <t xml:space="preserve">Receita Total 2025</t>
  </si>
  <si>
    <t xml:space="preserve">Despesas Total 2025</t>
  </si>
  <si>
    <t xml:space="preserve">Resultado Líquido</t>
  </si>
  <si>
    <t xml:space="preserve">Gastos Anômalos</t>
  </si>
  <si>
    <t xml:space="preserve">📋 RESUMO POR CATEGORIA — REAL vs ORÇADO vs APROVEITAMENTO</t>
  </si>
  <si>
    <t xml:space="preserve">Realizado (R$)</t>
  </si>
  <si>
    <t xml:space="preserve">Z-Score Médio</t>
  </si>
  <si>
    <t xml:space="preserve">Outliers</t>
  </si>
  <si>
    <t xml:space="preserve">Barra Aproveit.</t>
  </si>
  <si>
    <t xml:space="preserve">Status</t>
  </si>
  <si>
    <t xml:space="preserve">Orçado</t>
  </si>
  <si>
    <t xml:space="preserve">Realizado</t>
  </si>
  <si>
    <t xml:space="preserve">Valor</t>
  </si>
  <si>
    <t xml:space="preserve">███████████████████░</t>
  </si>
  <si>
    <t xml:space="preserve">🟠 Atenção</t>
  </si>
  <si>
    <t xml:space="preserve">🟢 OK</t>
  </si>
  <si>
    <t xml:space="preserve">████████████████░░░░</t>
  </si>
  <si>
    <t xml:space="preserve">🔴 Estouro</t>
  </si>
  <si>
    <t xml:space="preserve">██████████████████░░</t>
  </si>
  <si>
    <t xml:space="preserve">█████████████████░░░</t>
  </si>
  <si>
    <t xml:space="preserve">⚡ ANÁLISE DE APROVEITAMENTO FINANCEIRO — EFICIÊNCIA MENSAL POR CATEGORIA</t>
  </si>
  <si>
    <t xml:space="preserve">Score 0–100% · Verde ≥80% Excelente · Amarelo 60–79% Bom · Vermelho &lt;60% Crítico · Cálculo: 1 − |Real−Orç|/Orç</t>
  </si>
  <si>
    <t xml:space="preserve">🏆 SCORE GLOBAL</t>
  </si>
  <si>
    <t xml:space="preserve">Score Médio Global</t>
  </si>
  <si>
    <t xml:space="preserve">✅ BOM</t>
  </si>
  <si>
    <t xml:space="preserve">📊 MATRIZ DE APROVEITAMENTO: CATEGORIA × MÊS (Heat Map)</t>
  </si>
  <si>
    <t xml:space="preserve">Média Anual</t>
  </si>
  <si>
    <t xml:space="preserve">Score</t>
  </si>
  <si>
    <t xml:space="preserve">🏆</t>
  </si>
  <si>
    <t xml:space="preserve">📈 Melhorando</t>
  </si>
  <si>
    <t xml:space="preserve">➡ Estável</t>
  </si>
  <si>
    <t xml:space="preserve">✅</t>
  </si>
  <si>
    <t xml:space="preserve">📉 Piorando</t>
  </si>
  <si>
    <t xml:space="preserve">📅 Dados para gráfico mensal</t>
  </si>
  <si>
    <t xml:space="preserve">Score Médio</t>
  </si>
  <si>
    <t xml:space="preserve">Entradas Score</t>
  </si>
  <si>
    <t xml:space="preserve">🔗 ANÁLISE DE CORRELAÇÃO E REGRESSÃO ENTRE CATEGORIAS</t>
  </si>
  <si>
    <t xml:space="preserve">Matriz de Correlação de Pearson · Regressão OLS · R² · Significância Estatística</t>
  </si>
  <si>
    <t xml:space="preserve">📊 MATRIZ DE CORRELAÇÃO DE PEARSON (Gastos Mensais por Categoria)</t>
  </si>
  <si>
    <t xml:space="preserve">Alimen</t>
  </si>
  <si>
    <t xml:space="preserve">Moradi</t>
  </si>
  <si>
    <t xml:space="preserve">Transp</t>
  </si>
  <si>
    <t xml:space="preserve">Educaç</t>
  </si>
  <si>
    <t xml:space="preserve">Invest</t>
  </si>
  <si>
    <t xml:space="preserve">📐 REGRESSÃO: MESES → GASTOS TOTAIS (OLS por Categoria)</t>
  </si>
  <si>
    <t xml:space="preserve">β₀ Intercepto</t>
  </si>
  <si>
    <t xml:space="preserve">β₁ Inclinação</t>
  </si>
  <si>
    <t xml:space="preserve">R²</t>
  </si>
  <si>
    <t xml:space="preserve">r</t>
  </si>
  <si>
    <t xml:space="preserve">Significante?</t>
  </si>
  <si>
    <t xml:space="preserve">Tendência (R$/mês)</t>
  </si>
  <si>
    <t xml:space="preserve">IC 95% β₁ Inf</t>
  </si>
  <si>
    <t xml:space="preserve">IC 95% β₁ Sup</t>
  </si>
  <si>
    <t xml:space="preserve">❌ Não</t>
  </si>
  <si>
    <t xml:space="preserve">🔮 PROJEÇÃO E FORECAST — PLANEJAMENTO FINANCEIRO AVANÇADO</t>
  </si>
  <si>
    <t xml:space="preserve">Projeção por Regressão Linear · Intervalos de Previsão · Simulação Monte Carlo · Cenários</t>
  </si>
  <si>
    <t xml:space="preserve">⚙️ PARÂMETROS DE PROJEÇÃO</t>
  </si>
  <si>
    <t xml:space="preserve">Inflação Mensal Estimada (%)</t>
  </si>
  <si>
    <t xml:space="preserve">Crescimento Salarial Anual (%)</t>
  </si>
  <si>
    <t xml:space="preserve">Meta de Poupança (%)</t>
  </si>
  <si>
    <t xml:space="preserve">Meses de Projeção</t>
  </si>
  <si>
    <t xml:space="preserve">📅 PROJEÇÃO 24 MESES (Janeiro/2026 — Dezembro/2027)</t>
  </si>
  <si>
    <t xml:space="preserve">Período</t>
  </si>
  <si>
    <t xml:space="preserve">Renda Proj.(R$)</t>
  </si>
  <si>
    <t xml:space="preserve">Saída Base(R$)</t>
  </si>
  <si>
    <t xml:space="preserve">Saída c/Infl.(R$)</t>
  </si>
  <si>
    <t xml:space="preserve">Saldo Proj.(R$)</t>
  </si>
  <si>
    <t xml:space="preserve">Poupança Acum.(R$)</t>
  </si>
  <si>
    <t xml:space="preserve">Risco (%)</t>
  </si>
  <si>
    <t xml:space="preserve">Jan/2026</t>
  </si>
  <si>
    <t xml:space="preserve">🟢 Superávit</t>
  </si>
  <si>
    <t xml:space="preserve">Fev/2026</t>
  </si>
  <si>
    <t xml:space="preserve">Mar/2026</t>
  </si>
  <si>
    <t xml:space="preserve">Abr/2026</t>
  </si>
  <si>
    <t xml:space="preserve">Mai/2026</t>
  </si>
  <si>
    <t xml:space="preserve">Jun/2026</t>
  </si>
  <si>
    <t xml:space="preserve">Jul/2026</t>
  </si>
  <si>
    <t xml:space="preserve">Ago/2026</t>
  </si>
  <si>
    <t xml:space="preserve">Set/2026</t>
  </si>
  <si>
    <t xml:space="preserve">Out/2026</t>
  </si>
  <si>
    <t xml:space="preserve">Nov/2026</t>
  </si>
  <si>
    <t xml:space="preserve">Dez/2026</t>
  </si>
  <si>
    <t xml:space="preserve">Jan/2027</t>
  </si>
  <si>
    <t xml:space="preserve">Fev/2027</t>
  </si>
  <si>
    <t xml:space="preserve">Mar/2027</t>
  </si>
  <si>
    <t xml:space="preserve">Abr/2027</t>
  </si>
  <si>
    <t xml:space="preserve">Mai/2027</t>
  </si>
  <si>
    <t xml:space="preserve">Jun/2027</t>
  </si>
  <si>
    <t xml:space="preserve">Jul/2027</t>
  </si>
  <si>
    <t xml:space="preserve">Ago/2027</t>
  </si>
  <si>
    <t xml:space="preserve">Set/2027</t>
  </si>
  <si>
    <t xml:space="preserve">Out/2027</t>
  </si>
  <si>
    <t xml:space="preserve">Nov/2027</t>
  </si>
  <si>
    <t xml:space="preserve">Dez/2027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</si>
</sst>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d/mm/yyyy"/>
    <numFmt numFmtId="166" formatCode="&quot;R$ &quot;#,##0.00"/>
    <numFmt numFmtId="167" formatCode="&quot;R$ &quot;#,##0.00;&quot;(R$ &quot;#,##0.00\);\-"/>
    <numFmt numFmtId="168" formatCode="0.0%"/>
    <numFmt numFmtId="169" formatCode="0.00"/>
    <numFmt numFmtId="170" formatCode="0.000000"/>
    <numFmt numFmtId="171" formatCode="0.0000"/>
    <numFmt numFmtId="172" formatCode="0.00\%"/>
    <numFmt numFmtId="173" formatCode="#,##0"/>
    <numFmt numFmtId="174" formatCode="#,##0.00"/>
    <numFmt numFmtId="175" formatCode="0.00%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sz val="10"/>
      <color rgb="FF94A3B8"/>
      <name val="Calibri"/>
      <family val="0"/>
      <charset val="1"/>
    </font>
    <font>
      <sz val="9"/>
      <color rgb="FF64748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sz val="10"/>
      <color rgb="FF000000"/>
      <name val="Calibri"/>
      <family val="0"/>
      <charset val="1"/>
    </font>
    <font>
      <sz val="9"/>
      <color rgb="FF059669"/>
      <name val="Calibri"/>
      <family val="0"/>
      <charset val="1"/>
    </font>
    <font>
      <b val="true"/>
      <sz val="10"/>
      <color rgb="FF059669"/>
      <name val="Calibri"/>
      <family val="0"/>
      <charset val="1"/>
    </font>
    <font>
      <b val="true"/>
      <sz val="9"/>
      <color rgb="FFDC262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4F46E5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6366F1"/>
      <name val="Calibri"/>
      <family val="0"/>
      <charset val="1"/>
    </font>
    <font>
      <b val="true"/>
      <sz val="11"/>
      <color rgb="FF0891B2"/>
      <name val="Calibri"/>
      <family val="0"/>
      <charset val="1"/>
    </font>
    <font>
      <b val="true"/>
      <sz val="11"/>
      <color rgb="FF059669"/>
      <name val="Calibri"/>
      <family val="0"/>
      <charset val="1"/>
    </font>
    <font>
      <b val="true"/>
      <sz val="11"/>
      <color rgb="FFD97706"/>
      <name val="Calibri"/>
      <family val="0"/>
      <charset val="1"/>
    </font>
    <font>
      <b val="true"/>
      <sz val="11"/>
      <color rgb="FFF97316"/>
      <name val="Calibri"/>
      <family val="0"/>
      <charset val="1"/>
    </font>
    <font>
      <b val="true"/>
      <sz val="11"/>
      <color rgb="FFDC262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059669"/>
      <name val="Calibri"/>
      <family val="0"/>
      <charset val="1"/>
    </font>
    <font>
      <b val="true"/>
      <sz val="12"/>
      <color rgb="FFDC2626"/>
      <name val="Calibri"/>
      <family val="0"/>
      <charset val="1"/>
    </font>
    <font>
      <b val="true"/>
      <sz val="12"/>
      <color rgb="FFD97706"/>
      <name val="Calibri"/>
      <family val="0"/>
      <charset val="1"/>
    </font>
    <font>
      <b val="true"/>
      <sz val="12"/>
      <color rgb="FF4F46E5"/>
      <name val="Calibri"/>
      <family val="0"/>
      <charset val="1"/>
    </font>
    <font>
      <b val="true"/>
      <sz val="12"/>
      <color rgb="FF0891B2"/>
      <name val="Calibri"/>
      <family val="0"/>
      <charset val="1"/>
    </font>
    <font>
      <b val="true"/>
      <sz val="10"/>
      <color rgb="FF4F46E5"/>
      <name val="Calibri"/>
      <family val="0"/>
      <charset val="1"/>
    </font>
    <font>
      <sz val="10"/>
      <color rgb="FF64748B"/>
      <name val="Calibri"/>
      <family val="0"/>
      <charset val="1"/>
    </font>
    <font>
      <b val="true"/>
      <sz val="9"/>
      <name val="Calibri"/>
      <family val="0"/>
      <charset val="1"/>
    </font>
    <font>
      <sz val="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8"/>
      <color rgb="FFE2E8F0"/>
      <name val="Calibri"/>
      <family val="0"/>
      <charset val="1"/>
    </font>
    <font>
      <sz val="10"/>
      <color rgb="FFDC2626"/>
      <name val="Calibri"/>
      <family val="0"/>
      <charset val="1"/>
    </font>
    <font>
      <sz val="9"/>
      <color rgb="FF059669"/>
      <name val="Courier New"/>
      <family val="0"/>
      <charset val="1"/>
    </font>
    <font>
      <sz val="10"/>
      <color rgb="FF059669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22"/>
      <color rgb="FFD97706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0"/>
      <color rgb="FFD97706"/>
      <name val="Calibri"/>
      <family val="0"/>
      <charset val="1"/>
    </font>
    <font>
      <sz val="9"/>
      <color rgb="FFDC2626"/>
      <name val="Calibri"/>
      <family val="0"/>
      <charset val="1"/>
    </font>
    <font>
      <sz val="10"/>
      <color rgb="FF4F46E5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E2E8F0"/>
        <bgColor rgb="FFF1F5F9"/>
      </patternFill>
    </fill>
    <fill>
      <patternFill patternType="solid">
        <fgColor rgb="FFFFFFFF"/>
        <bgColor rgb="FFFFFBF0"/>
      </patternFill>
    </fill>
    <fill>
      <patternFill patternType="solid">
        <fgColor rgb="FFFFFDE7"/>
        <bgColor rgb="FFFFFBF0"/>
      </patternFill>
    </fill>
    <fill>
      <patternFill patternType="solid">
        <fgColor rgb="FFF1F5F9"/>
        <bgColor rgb="FFF9F9F9"/>
      </patternFill>
    </fill>
    <fill>
      <patternFill patternType="solid">
        <fgColor rgb="FF1E293B"/>
        <bgColor rgb="FF0F172A"/>
      </patternFill>
    </fill>
    <fill>
      <patternFill patternType="solid">
        <fgColor rgb="FF4F46E5"/>
        <bgColor rgb="FF6366F1"/>
      </patternFill>
    </fill>
    <fill>
      <patternFill patternType="solid">
        <fgColor rgb="FF6366F1"/>
        <bgColor rgb="FF4F46E5"/>
      </patternFill>
    </fill>
    <fill>
      <patternFill patternType="solid">
        <fgColor rgb="FF0891B2"/>
        <bgColor rgb="FF059669"/>
      </patternFill>
    </fill>
    <fill>
      <patternFill patternType="solid">
        <fgColor rgb="FF059669"/>
        <bgColor rgb="FF0891B2"/>
      </patternFill>
    </fill>
    <fill>
      <patternFill patternType="solid">
        <fgColor rgb="FFD97706"/>
        <bgColor rgb="FFF97316"/>
      </patternFill>
    </fill>
    <fill>
      <patternFill patternType="solid">
        <fgColor rgb="FFF97316"/>
        <bgColor rgb="FFD97706"/>
      </patternFill>
    </fill>
    <fill>
      <patternFill patternType="solid">
        <fgColor rgb="FFDC2626"/>
        <bgColor rgb="FFAB4744"/>
      </patternFill>
    </fill>
    <fill>
      <patternFill patternType="solid">
        <fgColor rgb="FFFFF0F0"/>
        <bgColor rgb="FFF9F9F9"/>
      </patternFill>
    </fill>
    <fill>
      <patternFill patternType="solid">
        <fgColor rgb="FFFFFBF0"/>
        <bgColor rgb="FFFFFDE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1E293B"/>
      </left>
      <right/>
      <top style="medium">
        <color rgb="FF1E293B"/>
      </top>
      <bottom style="medium">
        <color rgb="FF1E293B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0" fillId="6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0" fillId="4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1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2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3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3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3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1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3" fontId="1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2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1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9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0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1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10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1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9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0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1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10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1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1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1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1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1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40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1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3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33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44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4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8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6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4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6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4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59669"/>
      <rgbColor rgb="FFCCCCCC"/>
      <rgbColor rgb="FF878787"/>
      <rgbColor rgb="FF818CF8"/>
      <rgbColor rgb="FFAB4744"/>
      <rgbColor rgb="FFFFFDE7"/>
      <rgbColor rgb="FFF1F5F9"/>
      <rgbColor rgb="FF660066"/>
      <rgbColor rgb="FFDC853E"/>
      <rgbColor rgb="FF4672A8"/>
      <rgbColor rgb="FFCBD5E1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E2E8F0"/>
      <rgbColor rgb="FFF9F9F9"/>
      <rgbColor rgb="FFFFFBF0"/>
      <rgbColor rgb="FF93A9CE"/>
      <rgbColor rgb="FFD09493"/>
      <rgbColor rgb="FFFFF0F0"/>
      <rgbColor rgb="FFD9D9D9"/>
      <rgbColor rgb="FF6366F1"/>
      <rgbColor rgb="FF4F81BD"/>
      <rgbColor rgb="FF99CC00"/>
      <rgbColor rgb="FFFFCC00"/>
      <rgbColor rgb="FFD97706"/>
      <rgbColor rgb="FFF97316"/>
      <rgbColor rgb="FF64748B"/>
      <rgbColor rgb="FF94A3B8"/>
      <rgbColor rgb="FF4F46E5"/>
      <rgbColor rgb="FF4299B0"/>
      <rgbColor rgb="FF0F172A"/>
      <rgbColor rgb="FF333300"/>
      <rgbColor rgb="FF993300"/>
      <rgbColor rgb="FF725990"/>
      <rgbColor rgb="FF365D8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Curva de Distribuição Normal vs Empírica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"Distribuição Normal Teórica"</c:f>
              <c:strCache>
                <c:ptCount val="1"/>
                <c:pt idx="0">
                  <c:v>Distribuição Normal Teórica</c:v>
                </c:pt>
              </c:strCache>
            </c:strRef>
          </c:tx>
          <c:spPr>
            <a:solidFill>
              <a:srgbClr val="4F46E5"/>
            </a:solidFill>
            <a:ln w="24840">
              <a:solidFill>
                <a:srgbClr val="4F46E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'📐 Distribuição Normal'!$G$6:$G$65</c:f>
              <c:numCache>
                <c:formatCode>"R$ "#,##0.00</c:formatCode>
                <c:ptCount val="60"/>
                <c:pt idx="0">
                  <c:v>0</c:v>
                </c:pt>
                <c:pt idx="1">
                  <c:v>29.54</c:v>
                </c:pt>
                <c:pt idx="2">
                  <c:v>59.07</c:v>
                </c:pt>
                <c:pt idx="3">
                  <c:v>88.61</c:v>
                </c:pt>
                <c:pt idx="4">
                  <c:v>118.14</c:v>
                </c:pt>
                <c:pt idx="5">
                  <c:v>147.68</c:v>
                </c:pt>
                <c:pt idx="6">
                  <c:v>177.21</c:v>
                </c:pt>
                <c:pt idx="7">
                  <c:v>206.75</c:v>
                </c:pt>
                <c:pt idx="8">
                  <c:v>236.28</c:v>
                </c:pt>
                <c:pt idx="9">
                  <c:v>265.82</c:v>
                </c:pt>
                <c:pt idx="10">
                  <c:v>295.35</c:v>
                </c:pt>
                <c:pt idx="11">
                  <c:v>324.89</c:v>
                </c:pt>
                <c:pt idx="12">
                  <c:v>354.43</c:v>
                </c:pt>
                <c:pt idx="13">
                  <c:v>383.96</c:v>
                </c:pt>
                <c:pt idx="14">
                  <c:v>413.5</c:v>
                </c:pt>
                <c:pt idx="15">
                  <c:v>443.03</c:v>
                </c:pt>
                <c:pt idx="16">
                  <c:v>472.57</c:v>
                </c:pt>
                <c:pt idx="17">
                  <c:v>502.1</c:v>
                </c:pt>
                <c:pt idx="18">
                  <c:v>531.64</c:v>
                </c:pt>
                <c:pt idx="19">
                  <c:v>561.17</c:v>
                </c:pt>
                <c:pt idx="20">
                  <c:v>590.71</c:v>
                </c:pt>
                <c:pt idx="21">
                  <c:v>620.24</c:v>
                </c:pt>
                <c:pt idx="22">
                  <c:v>649.78</c:v>
                </c:pt>
                <c:pt idx="23">
                  <c:v>679.31</c:v>
                </c:pt>
                <c:pt idx="24">
                  <c:v>708.85</c:v>
                </c:pt>
                <c:pt idx="25">
                  <c:v>738.39</c:v>
                </c:pt>
                <c:pt idx="26">
                  <c:v>767.92</c:v>
                </c:pt>
                <c:pt idx="27">
                  <c:v>797.46</c:v>
                </c:pt>
                <c:pt idx="28">
                  <c:v>826.99</c:v>
                </c:pt>
                <c:pt idx="29">
                  <c:v>856.53</c:v>
                </c:pt>
                <c:pt idx="30">
                  <c:v>886.06</c:v>
                </c:pt>
                <c:pt idx="31">
                  <c:v>915.6</c:v>
                </c:pt>
                <c:pt idx="32">
                  <c:v>945.13</c:v>
                </c:pt>
                <c:pt idx="33">
                  <c:v>974.67</c:v>
                </c:pt>
                <c:pt idx="34">
                  <c:v>1004.2</c:v>
                </c:pt>
                <c:pt idx="35">
                  <c:v>1033.74</c:v>
                </c:pt>
                <c:pt idx="36">
                  <c:v>1063.28</c:v>
                </c:pt>
                <c:pt idx="37">
                  <c:v>1092.81</c:v>
                </c:pt>
                <c:pt idx="38">
                  <c:v>1122.35</c:v>
                </c:pt>
                <c:pt idx="39">
                  <c:v>1151.88</c:v>
                </c:pt>
                <c:pt idx="40">
                  <c:v>1181.42</c:v>
                </c:pt>
                <c:pt idx="41">
                  <c:v>1210.95</c:v>
                </c:pt>
                <c:pt idx="42">
                  <c:v>1240.49</c:v>
                </c:pt>
                <c:pt idx="43">
                  <c:v>1270.02</c:v>
                </c:pt>
                <c:pt idx="44">
                  <c:v>1299.56</c:v>
                </c:pt>
                <c:pt idx="45">
                  <c:v>1329.09</c:v>
                </c:pt>
                <c:pt idx="46">
                  <c:v>1358.63</c:v>
                </c:pt>
                <c:pt idx="47">
                  <c:v>1388.17</c:v>
                </c:pt>
                <c:pt idx="48">
                  <c:v>1417.7</c:v>
                </c:pt>
                <c:pt idx="49">
                  <c:v>1447.24</c:v>
                </c:pt>
                <c:pt idx="50">
                  <c:v>1476.77</c:v>
                </c:pt>
                <c:pt idx="51">
                  <c:v>1506.31</c:v>
                </c:pt>
                <c:pt idx="52">
                  <c:v>1535.84</c:v>
                </c:pt>
                <c:pt idx="53">
                  <c:v>1565.38</c:v>
                </c:pt>
                <c:pt idx="54">
                  <c:v>1594.91</c:v>
                </c:pt>
                <c:pt idx="55">
                  <c:v>1624.45</c:v>
                </c:pt>
                <c:pt idx="56">
                  <c:v>1653.98</c:v>
                </c:pt>
                <c:pt idx="57">
                  <c:v>1683.52</c:v>
                </c:pt>
                <c:pt idx="58">
                  <c:v>1713.05</c:v>
                </c:pt>
                <c:pt idx="59">
                  <c:v>1742.59</c:v>
                </c:pt>
              </c:numCache>
            </c:numRef>
          </c:xVal>
          <c:yVal>
            <c:numRef>
              <c:f>'📐 Distribuição Normal'!$H$6:$H$65</c:f>
              <c:numCache>
                <c:formatCode>0.000000</c:formatCode>
                <c:ptCount val="60"/>
                <c:pt idx="0">
                  <c:v>0.00072823</c:v>
                </c:pt>
                <c:pt idx="1">
                  <c:v>0.0007677</c:v>
                </c:pt>
                <c:pt idx="2">
                  <c:v>0.0008051</c:v>
                </c:pt>
                <c:pt idx="3">
                  <c:v>0.00083992</c:v>
                </c:pt>
                <c:pt idx="4">
                  <c:v>0.00087167</c:v>
                </c:pt>
                <c:pt idx="5">
                  <c:v>0.0008999</c:v>
                </c:pt>
                <c:pt idx="6">
                  <c:v>0.00092421</c:v>
                </c:pt>
                <c:pt idx="7">
                  <c:v>0.00094422</c:v>
                </c:pt>
                <c:pt idx="8">
                  <c:v>0.00095963</c:v>
                </c:pt>
                <c:pt idx="9">
                  <c:v>0.00097021</c:v>
                </c:pt>
                <c:pt idx="10">
                  <c:v>0.00097579</c:v>
                </c:pt>
                <c:pt idx="11">
                  <c:v>0.00097628</c:v>
                </c:pt>
                <c:pt idx="12">
                  <c:v>0.00097168</c:v>
                </c:pt>
                <c:pt idx="13">
                  <c:v>0.00096206</c:v>
                </c:pt>
                <c:pt idx="14">
                  <c:v>0.00094757</c:v>
                </c:pt>
                <c:pt idx="15">
                  <c:v>0.00092843</c:v>
                </c:pt>
                <c:pt idx="16">
                  <c:v>0.00090493</c:v>
                </c:pt>
                <c:pt idx="17">
                  <c:v>0.00087742</c:v>
                </c:pt>
                <c:pt idx="18">
                  <c:v>0.00084632</c:v>
                </c:pt>
                <c:pt idx="19">
                  <c:v>0.00081206</c:v>
                </c:pt>
                <c:pt idx="20">
                  <c:v>0.00077512</c:v>
                </c:pt>
                <c:pt idx="21">
                  <c:v>0.00073601</c:v>
                </c:pt>
                <c:pt idx="22">
                  <c:v>0.00069522</c:v>
                </c:pt>
                <c:pt idx="23">
                  <c:v>0.00065327</c:v>
                </c:pt>
                <c:pt idx="24">
                  <c:v>0.00061065</c:v>
                </c:pt>
                <c:pt idx="25">
                  <c:v>0.00056784</c:v>
                </c:pt>
                <c:pt idx="26">
                  <c:v>0.00052527</c:v>
                </c:pt>
                <c:pt idx="27">
                  <c:v>0.00048336</c:v>
                </c:pt>
                <c:pt idx="28">
                  <c:v>0.00044247</c:v>
                </c:pt>
                <c:pt idx="29">
                  <c:v>0.00040293</c:v>
                </c:pt>
                <c:pt idx="30">
                  <c:v>0.00036501</c:v>
                </c:pt>
                <c:pt idx="31">
                  <c:v>0.00032894</c:v>
                </c:pt>
                <c:pt idx="32">
                  <c:v>0.00029488</c:v>
                </c:pt>
                <c:pt idx="33">
                  <c:v>0.00026297</c:v>
                </c:pt>
                <c:pt idx="34">
                  <c:v>0.00023329</c:v>
                </c:pt>
                <c:pt idx="35">
                  <c:v>0.00020588</c:v>
                </c:pt>
                <c:pt idx="36">
                  <c:v>0.00018075</c:v>
                </c:pt>
                <c:pt idx="37">
                  <c:v>0.00015785</c:v>
                </c:pt>
                <c:pt idx="38">
                  <c:v>0.00013714</c:v>
                </c:pt>
                <c:pt idx="39">
                  <c:v>0.00011852</c:v>
                </c:pt>
                <c:pt idx="40">
                  <c:v>0.0001019</c:v>
                </c:pt>
                <c:pt idx="41">
                  <c:v>8.715E-005</c:v>
                </c:pt>
                <c:pt idx="42">
                  <c:v>7.415E-005</c:v>
                </c:pt>
                <c:pt idx="43">
                  <c:v>6.275E-005</c:v>
                </c:pt>
                <c:pt idx="44">
                  <c:v>5.284E-005</c:v>
                </c:pt>
                <c:pt idx="45">
                  <c:v>4.425E-005</c:v>
                </c:pt>
                <c:pt idx="46">
                  <c:v>3.687E-005</c:v>
                </c:pt>
                <c:pt idx="47">
                  <c:v>3.056E-005</c:v>
                </c:pt>
                <c:pt idx="48">
                  <c:v>2.52E-005</c:v>
                </c:pt>
                <c:pt idx="49">
                  <c:v>2.067E-005</c:v>
                </c:pt>
                <c:pt idx="50">
                  <c:v>1.686E-005</c:v>
                </c:pt>
                <c:pt idx="51">
                  <c:v>1.369E-005</c:v>
                </c:pt>
                <c:pt idx="52">
                  <c:v>1.105E-005</c:v>
                </c:pt>
                <c:pt idx="53">
                  <c:v>8.88E-006</c:v>
                </c:pt>
                <c:pt idx="54">
                  <c:v>7.09E-006</c:v>
                </c:pt>
                <c:pt idx="55">
                  <c:v>5.64E-006</c:v>
                </c:pt>
                <c:pt idx="56">
                  <c:v>4.46E-006</c:v>
                </c:pt>
                <c:pt idx="57">
                  <c:v>3.51E-006</c:v>
                </c:pt>
                <c:pt idx="58">
                  <c:v>2.74E-006</c:v>
                </c:pt>
                <c:pt idx="59">
                  <c:v>2.14E-006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"Distribuição Empírica"</c:f>
              <c:strCache>
                <c:ptCount val="1"/>
                <c:pt idx="0">
                  <c:v>Distribuição Empírica</c:v>
                </c:pt>
              </c:strCache>
            </c:strRef>
          </c:tx>
          <c:spPr>
            <a:solidFill>
              <a:srgbClr val="0891B2"/>
            </a:solidFill>
            <a:ln w="15120">
              <a:solidFill>
                <a:srgbClr val="0891B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'📐 Distribuição Normal'!$G$6:$G$65</c:f>
              <c:numCache>
                <c:formatCode>"R$ "#,##0.00</c:formatCode>
                <c:ptCount val="60"/>
                <c:pt idx="0">
                  <c:v>0</c:v>
                </c:pt>
                <c:pt idx="1">
                  <c:v>29.54</c:v>
                </c:pt>
                <c:pt idx="2">
                  <c:v>59.07</c:v>
                </c:pt>
                <c:pt idx="3">
                  <c:v>88.61</c:v>
                </c:pt>
                <c:pt idx="4">
                  <c:v>118.14</c:v>
                </c:pt>
                <c:pt idx="5">
                  <c:v>147.68</c:v>
                </c:pt>
                <c:pt idx="6">
                  <c:v>177.21</c:v>
                </c:pt>
                <c:pt idx="7">
                  <c:v>206.75</c:v>
                </c:pt>
                <c:pt idx="8">
                  <c:v>236.28</c:v>
                </c:pt>
                <c:pt idx="9">
                  <c:v>265.82</c:v>
                </c:pt>
                <c:pt idx="10">
                  <c:v>295.35</c:v>
                </c:pt>
                <c:pt idx="11">
                  <c:v>324.89</c:v>
                </c:pt>
                <c:pt idx="12">
                  <c:v>354.43</c:v>
                </c:pt>
                <c:pt idx="13">
                  <c:v>383.96</c:v>
                </c:pt>
                <c:pt idx="14">
                  <c:v>413.5</c:v>
                </c:pt>
                <c:pt idx="15">
                  <c:v>443.03</c:v>
                </c:pt>
                <c:pt idx="16">
                  <c:v>472.57</c:v>
                </c:pt>
                <c:pt idx="17">
                  <c:v>502.1</c:v>
                </c:pt>
                <c:pt idx="18">
                  <c:v>531.64</c:v>
                </c:pt>
                <c:pt idx="19">
                  <c:v>561.17</c:v>
                </c:pt>
                <c:pt idx="20">
                  <c:v>590.71</c:v>
                </c:pt>
                <c:pt idx="21">
                  <c:v>620.24</c:v>
                </c:pt>
                <c:pt idx="22">
                  <c:v>649.78</c:v>
                </c:pt>
                <c:pt idx="23">
                  <c:v>679.31</c:v>
                </c:pt>
                <c:pt idx="24">
                  <c:v>708.85</c:v>
                </c:pt>
                <c:pt idx="25">
                  <c:v>738.39</c:v>
                </c:pt>
                <c:pt idx="26">
                  <c:v>767.92</c:v>
                </c:pt>
                <c:pt idx="27">
                  <c:v>797.46</c:v>
                </c:pt>
                <c:pt idx="28">
                  <c:v>826.99</c:v>
                </c:pt>
                <c:pt idx="29">
                  <c:v>856.53</c:v>
                </c:pt>
                <c:pt idx="30">
                  <c:v>886.06</c:v>
                </c:pt>
                <c:pt idx="31">
                  <c:v>915.6</c:v>
                </c:pt>
                <c:pt idx="32">
                  <c:v>945.13</c:v>
                </c:pt>
                <c:pt idx="33">
                  <c:v>974.67</c:v>
                </c:pt>
                <c:pt idx="34">
                  <c:v>1004.2</c:v>
                </c:pt>
                <c:pt idx="35">
                  <c:v>1033.74</c:v>
                </c:pt>
                <c:pt idx="36">
                  <c:v>1063.28</c:v>
                </c:pt>
                <c:pt idx="37">
                  <c:v>1092.81</c:v>
                </c:pt>
                <c:pt idx="38">
                  <c:v>1122.35</c:v>
                </c:pt>
                <c:pt idx="39">
                  <c:v>1151.88</c:v>
                </c:pt>
                <c:pt idx="40">
                  <c:v>1181.42</c:v>
                </c:pt>
                <c:pt idx="41">
                  <c:v>1210.95</c:v>
                </c:pt>
                <c:pt idx="42">
                  <c:v>1240.49</c:v>
                </c:pt>
                <c:pt idx="43">
                  <c:v>1270.02</c:v>
                </c:pt>
                <c:pt idx="44">
                  <c:v>1299.56</c:v>
                </c:pt>
                <c:pt idx="45">
                  <c:v>1329.09</c:v>
                </c:pt>
                <c:pt idx="46">
                  <c:v>1358.63</c:v>
                </c:pt>
                <c:pt idx="47">
                  <c:v>1388.17</c:v>
                </c:pt>
                <c:pt idx="48">
                  <c:v>1417.7</c:v>
                </c:pt>
                <c:pt idx="49">
                  <c:v>1447.24</c:v>
                </c:pt>
                <c:pt idx="50">
                  <c:v>1476.77</c:v>
                </c:pt>
                <c:pt idx="51">
                  <c:v>1506.31</c:v>
                </c:pt>
                <c:pt idx="52">
                  <c:v>1535.84</c:v>
                </c:pt>
                <c:pt idx="53">
                  <c:v>1565.38</c:v>
                </c:pt>
                <c:pt idx="54">
                  <c:v>1594.91</c:v>
                </c:pt>
                <c:pt idx="55">
                  <c:v>1624.45</c:v>
                </c:pt>
                <c:pt idx="56">
                  <c:v>1653.98</c:v>
                </c:pt>
                <c:pt idx="57">
                  <c:v>1683.52</c:v>
                </c:pt>
                <c:pt idx="58">
                  <c:v>1713.05</c:v>
                </c:pt>
                <c:pt idx="59">
                  <c:v>1742.59</c:v>
                </c:pt>
              </c:numCache>
            </c:numRef>
          </c:xVal>
          <c:yVal>
            <c:numRef>
              <c:f>'📐 Distribuição Normal'!$I$6:$I$65</c:f>
              <c:numCache>
                <c:formatCode>0.000000</c:formatCode>
                <c:ptCount val="60"/>
                <c:pt idx="0">
                  <c:v>0.00355197</c:v>
                </c:pt>
                <c:pt idx="1">
                  <c:v>0.00355197</c:v>
                </c:pt>
                <c:pt idx="2">
                  <c:v>0.00349073</c:v>
                </c:pt>
                <c:pt idx="3">
                  <c:v>0.00349073</c:v>
                </c:pt>
                <c:pt idx="4">
                  <c:v>0.00208219</c:v>
                </c:pt>
                <c:pt idx="5">
                  <c:v>0.00208219</c:v>
                </c:pt>
                <c:pt idx="6">
                  <c:v>0.00140854</c:v>
                </c:pt>
                <c:pt idx="7">
                  <c:v>0.00140854</c:v>
                </c:pt>
                <c:pt idx="8">
                  <c:v>0.00097985</c:v>
                </c:pt>
                <c:pt idx="9">
                  <c:v>0.00097985</c:v>
                </c:pt>
                <c:pt idx="10">
                  <c:v>0.00067365</c:v>
                </c:pt>
                <c:pt idx="11">
                  <c:v>0.00067365</c:v>
                </c:pt>
                <c:pt idx="12">
                  <c:v>0.00055117</c:v>
                </c:pt>
                <c:pt idx="13">
                  <c:v>0.00055117</c:v>
                </c:pt>
                <c:pt idx="14">
                  <c:v>0.00110234</c:v>
                </c:pt>
                <c:pt idx="15">
                  <c:v>0.00110234</c:v>
                </c:pt>
                <c:pt idx="16">
                  <c:v>0.00067365</c:v>
                </c:pt>
                <c:pt idx="17">
                  <c:v>0.00067365</c:v>
                </c:pt>
                <c:pt idx="18">
                  <c:v>0.00055117</c:v>
                </c:pt>
                <c:pt idx="19">
                  <c:v>0.00055117</c:v>
                </c:pt>
                <c:pt idx="20">
                  <c:v>0.00055117</c:v>
                </c:pt>
                <c:pt idx="21">
                  <c:v>0.00018372</c:v>
                </c:pt>
                <c:pt idx="22">
                  <c:v>0.00018372</c:v>
                </c:pt>
                <c:pt idx="23">
                  <c:v>0.0003062</c:v>
                </c:pt>
                <c:pt idx="24">
                  <c:v>0.0003062</c:v>
                </c:pt>
                <c:pt idx="25">
                  <c:v>0.00018372</c:v>
                </c:pt>
                <c:pt idx="26">
                  <c:v>0.00018372</c:v>
                </c:pt>
                <c:pt idx="27">
                  <c:v>0.00012248</c:v>
                </c:pt>
                <c:pt idx="28">
                  <c:v>0.00012248</c:v>
                </c:pt>
                <c:pt idx="29">
                  <c:v>0.00012248</c:v>
                </c:pt>
                <c:pt idx="30">
                  <c:v>0.00012248</c:v>
                </c:pt>
                <c:pt idx="31">
                  <c:v>0.00012248</c:v>
                </c:pt>
                <c:pt idx="32">
                  <c:v>0.00012248</c:v>
                </c:pt>
                <c:pt idx="33">
                  <c:v>6.124E-005</c:v>
                </c:pt>
                <c:pt idx="34">
                  <c:v>6.124E-005</c:v>
                </c:pt>
                <c:pt idx="35">
                  <c:v>0.00018372</c:v>
                </c:pt>
                <c:pt idx="36">
                  <c:v>0.00018372</c:v>
                </c:pt>
                <c:pt idx="37">
                  <c:v>6.124E-005</c:v>
                </c:pt>
                <c:pt idx="38">
                  <c:v>6.124E-005</c:v>
                </c:pt>
                <c:pt idx="39">
                  <c:v>6.124E-005</c:v>
                </c:pt>
                <c:pt idx="40">
                  <c:v>6.124E-005</c:v>
                </c:pt>
                <c:pt idx="41">
                  <c:v>6.124E-005</c:v>
                </c:pt>
                <c:pt idx="42">
                  <c:v>6.124E-005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6.124E-005</c:v>
                </c:pt>
                <c:pt idx="56">
                  <c:v>6.124E-005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1"/>
        </c:ser>
        <c:axId val="53068692"/>
        <c:axId val="34226190"/>
      </c:scatterChart>
      <c:valAx>
        <c:axId val="530686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Valor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226190"/>
        <c:crosses val="autoZero"/>
        <c:crossBetween val="midCat"/>
      </c:valAx>
      <c:valAx>
        <c:axId val="34226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Densidade de Probabilidade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06869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Função de Distribuição Acumulada (CDF)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"CDF Normal"</c:f>
              <c:strCache>
                <c:ptCount val="1"/>
                <c:pt idx="0">
                  <c:v>CDF Normal</c:v>
                </c:pt>
              </c:strCache>
            </c:strRef>
          </c:tx>
          <c:spPr>
            <a:solidFill>
              <a:srgbClr val="059669"/>
            </a:solidFill>
            <a:ln w="24840">
              <a:solidFill>
                <a:srgbClr val="05966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'📐 Distribuição Normal'!$G$6:$G$65</c:f>
              <c:numCache>
                <c:formatCode>"R$ "#,##0.00</c:formatCode>
                <c:ptCount val="60"/>
                <c:pt idx="0">
                  <c:v>0</c:v>
                </c:pt>
                <c:pt idx="1">
                  <c:v>29.54</c:v>
                </c:pt>
                <c:pt idx="2">
                  <c:v>59.07</c:v>
                </c:pt>
                <c:pt idx="3">
                  <c:v>88.61</c:v>
                </c:pt>
                <c:pt idx="4">
                  <c:v>118.14</c:v>
                </c:pt>
                <c:pt idx="5">
                  <c:v>147.68</c:v>
                </c:pt>
                <c:pt idx="6">
                  <c:v>177.21</c:v>
                </c:pt>
                <c:pt idx="7">
                  <c:v>206.75</c:v>
                </c:pt>
                <c:pt idx="8">
                  <c:v>236.28</c:v>
                </c:pt>
                <c:pt idx="9">
                  <c:v>265.82</c:v>
                </c:pt>
                <c:pt idx="10">
                  <c:v>295.35</c:v>
                </c:pt>
                <c:pt idx="11">
                  <c:v>324.89</c:v>
                </c:pt>
                <c:pt idx="12">
                  <c:v>354.43</c:v>
                </c:pt>
                <c:pt idx="13">
                  <c:v>383.96</c:v>
                </c:pt>
                <c:pt idx="14">
                  <c:v>413.5</c:v>
                </c:pt>
                <c:pt idx="15">
                  <c:v>443.03</c:v>
                </c:pt>
                <c:pt idx="16">
                  <c:v>472.57</c:v>
                </c:pt>
                <c:pt idx="17">
                  <c:v>502.1</c:v>
                </c:pt>
                <c:pt idx="18">
                  <c:v>531.64</c:v>
                </c:pt>
                <c:pt idx="19">
                  <c:v>561.17</c:v>
                </c:pt>
                <c:pt idx="20">
                  <c:v>590.71</c:v>
                </c:pt>
                <c:pt idx="21">
                  <c:v>620.24</c:v>
                </c:pt>
                <c:pt idx="22">
                  <c:v>649.78</c:v>
                </c:pt>
                <c:pt idx="23">
                  <c:v>679.31</c:v>
                </c:pt>
                <c:pt idx="24">
                  <c:v>708.85</c:v>
                </c:pt>
                <c:pt idx="25">
                  <c:v>738.39</c:v>
                </c:pt>
                <c:pt idx="26">
                  <c:v>767.92</c:v>
                </c:pt>
                <c:pt idx="27">
                  <c:v>797.46</c:v>
                </c:pt>
                <c:pt idx="28">
                  <c:v>826.99</c:v>
                </c:pt>
                <c:pt idx="29">
                  <c:v>856.53</c:v>
                </c:pt>
                <c:pt idx="30">
                  <c:v>886.06</c:v>
                </c:pt>
                <c:pt idx="31">
                  <c:v>915.6</c:v>
                </c:pt>
                <c:pt idx="32">
                  <c:v>945.13</c:v>
                </c:pt>
                <c:pt idx="33">
                  <c:v>974.67</c:v>
                </c:pt>
                <c:pt idx="34">
                  <c:v>1004.2</c:v>
                </c:pt>
                <c:pt idx="35">
                  <c:v>1033.74</c:v>
                </c:pt>
                <c:pt idx="36">
                  <c:v>1063.28</c:v>
                </c:pt>
                <c:pt idx="37">
                  <c:v>1092.81</c:v>
                </c:pt>
                <c:pt idx="38">
                  <c:v>1122.35</c:v>
                </c:pt>
                <c:pt idx="39">
                  <c:v>1151.88</c:v>
                </c:pt>
                <c:pt idx="40">
                  <c:v>1181.42</c:v>
                </c:pt>
                <c:pt idx="41">
                  <c:v>1210.95</c:v>
                </c:pt>
                <c:pt idx="42">
                  <c:v>1240.49</c:v>
                </c:pt>
                <c:pt idx="43">
                  <c:v>1270.02</c:v>
                </c:pt>
                <c:pt idx="44">
                  <c:v>1299.56</c:v>
                </c:pt>
                <c:pt idx="45">
                  <c:v>1329.09</c:v>
                </c:pt>
                <c:pt idx="46">
                  <c:v>1358.63</c:v>
                </c:pt>
                <c:pt idx="47">
                  <c:v>1388.17</c:v>
                </c:pt>
                <c:pt idx="48">
                  <c:v>1417.7</c:v>
                </c:pt>
                <c:pt idx="49">
                  <c:v>1447.24</c:v>
                </c:pt>
                <c:pt idx="50">
                  <c:v>1476.77</c:v>
                </c:pt>
                <c:pt idx="51">
                  <c:v>1506.31</c:v>
                </c:pt>
                <c:pt idx="52">
                  <c:v>1535.84</c:v>
                </c:pt>
                <c:pt idx="53">
                  <c:v>1565.38</c:v>
                </c:pt>
                <c:pt idx="54">
                  <c:v>1594.91</c:v>
                </c:pt>
                <c:pt idx="55">
                  <c:v>1624.45</c:v>
                </c:pt>
                <c:pt idx="56">
                  <c:v>1653.98</c:v>
                </c:pt>
                <c:pt idx="57">
                  <c:v>1683.52</c:v>
                </c:pt>
                <c:pt idx="58">
                  <c:v>1713.05</c:v>
                </c:pt>
                <c:pt idx="59">
                  <c:v>1742.59</c:v>
                </c:pt>
              </c:numCache>
            </c:numRef>
          </c:xVal>
          <c:yVal>
            <c:numRef>
              <c:f>'📐 Distribuição Normal'!$J$6:$J$65</c:f>
              <c:numCache>
                <c:formatCode>0.0000</c:formatCode>
                <c:ptCount val="60"/>
                <c:pt idx="0">
                  <c:v>0.221765</c:v>
                </c:pt>
                <c:pt idx="1">
                  <c:v>0.243861</c:v>
                </c:pt>
                <c:pt idx="2">
                  <c:v>0.267093</c:v>
                </c:pt>
                <c:pt idx="3">
                  <c:v>0.291393</c:v>
                </c:pt>
                <c:pt idx="4">
                  <c:v>0.316678</c:v>
                </c:pt>
                <c:pt idx="5">
                  <c:v>0.342849</c:v>
                </c:pt>
                <c:pt idx="6">
                  <c:v>0.369797</c:v>
                </c:pt>
                <c:pt idx="7">
                  <c:v>0.3974</c:v>
                </c:pt>
                <c:pt idx="8">
                  <c:v>0.425527</c:v>
                </c:pt>
                <c:pt idx="9">
                  <c:v>0.454039</c:v>
                </c:pt>
                <c:pt idx="10">
                  <c:v>0.482789</c:v>
                </c:pt>
                <c:pt idx="11">
                  <c:v>0.51163</c:v>
                </c:pt>
                <c:pt idx="12">
                  <c:v>0.540409</c:v>
                </c:pt>
                <c:pt idx="13">
                  <c:v>0.568978</c:v>
                </c:pt>
                <c:pt idx="14">
                  <c:v>0.597191</c:v>
                </c:pt>
                <c:pt idx="15">
                  <c:v>0.624906</c:v>
                </c:pt>
                <c:pt idx="16">
                  <c:v>0.651991</c:v>
                </c:pt>
                <c:pt idx="17">
                  <c:v>0.678322</c:v>
                </c:pt>
                <c:pt idx="18">
                  <c:v>0.703786</c:v>
                </c:pt>
                <c:pt idx="19">
                  <c:v>0.728283</c:v>
                </c:pt>
                <c:pt idx="20">
                  <c:v>0.751728</c:v>
                </c:pt>
                <c:pt idx="21">
                  <c:v>0.774049</c:v>
                </c:pt>
                <c:pt idx="22">
                  <c:v>0.795188</c:v>
                </c:pt>
                <c:pt idx="23">
                  <c:v>0.815105</c:v>
                </c:pt>
                <c:pt idx="24">
                  <c:v>0.833771</c:v>
                </c:pt>
                <c:pt idx="25">
                  <c:v>0.851175</c:v>
                </c:pt>
                <c:pt idx="26">
                  <c:v>0.867316</c:v>
                </c:pt>
                <c:pt idx="27">
                  <c:v>0.882209</c:v>
                </c:pt>
                <c:pt idx="28">
                  <c:v>0.895879</c:v>
                </c:pt>
                <c:pt idx="29">
                  <c:v>0.90836</c:v>
                </c:pt>
                <c:pt idx="30">
                  <c:v>0.919696</c:v>
                </c:pt>
                <c:pt idx="31">
                  <c:v>0.929939</c:v>
                </c:pt>
                <c:pt idx="32">
                  <c:v>0.939147</c:v>
                </c:pt>
                <c:pt idx="33">
                  <c:v>0.947379</c:v>
                </c:pt>
                <c:pt idx="34">
                  <c:v>0.954703</c:v>
                </c:pt>
                <c:pt idx="35">
                  <c:v>0.961183</c:v>
                </c:pt>
                <c:pt idx="36">
                  <c:v>0.966887</c:v>
                </c:pt>
                <c:pt idx="37">
                  <c:v>0.971882</c:v>
                </c:pt>
                <c:pt idx="38">
                  <c:v>0.976233</c:v>
                </c:pt>
                <c:pt idx="39">
                  <c:v>0.980003</c:v>
                </c:pt>
                <c:pt idx="40">
                  <c:v>0.983254</c:v>
                </c:pt>
                <c:pt idx="41">
                  <c:v>0.986041</c:v>
                </c:pt>
                <c:pt idx="42">
                  <c:v>0.988419</c:v>
                </c:pt>
                <c:pt idx="43">
                  <c:v>0.990437</c:v>
                </c:pt>
                <c:pt idx="44">
                  <c:v>0.99214</c:v>
                </c:pt>
                <c:pt idx="45">
                  <c:v>0.993571</c:v>
                </c:pt>
                <c:pt idx="46">
                  <c:v>0.994766</c:v>
                </c:pt>
                <c:pt idx="47">
                  <c:v>0.995759</c:v>
                </c:pt>
                <c:pt idx="48">
                  <c:v>0.996581</c:v>
                </c:pt>
                <c:pt idx="49">
                  <c:v>0.997256</c:v>
                </c:pt>
                <c:pt idx="50">
                  <c:v>0.997809</c:v>
                </c:pt>
                <c:pt idx="51">
                  <c:v>0.998258</c:v>
                </c:pt>
                <c:pt idx="52">
                  <c:v>0.998623</c:v>
                </c:pt>
                <c:pt idx="53">
                  <c:v>0.998916</c:v>
                </c:pt>
                <c:pt idx="54">
                  <c:v>0.999151</c:v>
                </c:pt>
                <c:pt idx="55">
                  <c:v>0.999338</c:v>
                </c:pt>
                <c:pt idx="56">
                  <c:v>0.999487</c:v>
                </c:pt>
                <c:pt idx="57">
                  <c:v>0.999604</c:v>
                </c:pt>
                <c:pt idx="58">
                  <c:v>0.999696</c:v>
                </c:pt>
                <c:pt idx="59">
                  <c:v>0.999767</c:v>
                </c:pt>
              </c:numCache>
            </c:numRef>
          </c:yVal>
          <c:smooth val="1"/>
        </c:ser>
        <c:axId val="11751072"/>
        <c:axId val="57571039"/>
      </c:scatterChart>
      <c:valAx>
        <c:axId val="1175107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Valor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571039"/>
        <c:crosses val="autoZero"/>
        <c:crossBetween val="midCat"/>
      </c:valAx>
      <c:valAx>
        <c:axId val="575710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Probabilidade Acumulada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75107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Série Temporal: Fluxo Mensal + Linha de Tendência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Estatísticas'!H23</c:f>
              <c:strCache>
                <c:ptCount val="1"/>
                <c:pt idx="0">
                  <c:v>Saídas (R$)</c:v>
                </c:pt>
              </c:strCache>
            </c:strRef>
          </c:tx>
          <c:spPr>
            <a:solidFill>
              <a:srgbClr val="DC2626"/>
            </a:solidFill>
            <a:ln w="24840">
              <a:solidFill>
                <a:srgbClr val="DC262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Estatísticas'!$F$24:$F$35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'📈 Estatísticas'!$H$24:$H$35</c:f>
              <c:numCache>
                <c:formatCode>"R$ "#,##0.00</c:formatCode>
                <c:ptCount val="12"/>
                <c:pt idx="0">
                  <c:v>7466.81</c:v>
                </c:pt>
                <c:pt idx="1">
                  <c:v>6751.36</c:v>
                </c:pt>
                <c:pt idx="2">
                  <c:v>6513.33</c:v>
                </c:pt>
                <c:pt idx="3">
                  <c:v>7346.32</c:v>
                </c:pt>
                <c:pt idx="4">
                  <c:v>7332.06</c:v>
                </c:pt>
                <c:pt idx="5">
                  <c:v>9143.09</c:v>
                </c:pt>
                <c:pt idx="6">
                  <c:v>7653.78</c:v>
                </c:pt>
                <c:pt idx="7">
                  <c:v>7120.22</c:v>
                </c:pt>
                <c:pt idx="8">
                  <c:v>6541.11</c:v>
                </c:pt>
                <c:pt idx="9">
                  <c:v>8612.46</c:v>
                </c:pt>
                <c:pt idx="10">
                  <c:v>6578.33</c:v>
                </c:pt>
                <c:pt idx="11">
                  <c:v>7827.75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'📈 Estatísticas'!I23</c:f>
              <c:strCache>
                <c:ptCount val="1"/>
                <c:pt idx="0">
                  <c:v>Entradas (R$)</c:v>
                </c:pt>
              </c:strCache>
            </c:strRef>
          </c:tx>
          <c:spPr>
            <a:solidFill>
              <a:srgbClr val="059669"/>
            </a:solidFill>
            <a:ln w="24840">
              <a:solidFill>
                <a:srgbClr val="05966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Estatísticas'!$F$24:$F$35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'📈 Estatísticas'!$I$24:$I$35</c:f>
              <c:numCache>
                <c:formatCode>"R$ "#,##0.00</c:formatCode>
                <c:ptCount val="12"/>
                <c:pt idx="0">
                  <c:v>9793.7</c:v>
                </c:pt>
                <c:pt idx="1">
                  <c:v>8721.54</c:v>
                </c:pt>
                <c:pt idx="2">
                  <c:v>8608.49</c:v>
                </c:pt>
                <c:pt idx="3">
                  <c:v>9813.23</c:v>
                </c:pt>
                <c:pt idx="4">
                  <c:v>9421.72</c:v>
                </c:pt>
                <c:pt idx="5">
                  <c:v>9953.35</c:v>
                </c:pt>
                <c:pt idx="6">
                  <c:v>11395.6</c:v>
                </c:pt>
                <c:pt idx="7">
                  <c:v>7892.46</c:v>
                </c:pt>
                <c:pt idx="8">
                  <c:v>9617.66</c:v>
                </c:pt>
                <c:pt idx="9">
                  <c:v>9557.29</c:v>
                </c:pt>
                <c:pt idx="10">
                  <c:v>9323.8</c:v>
                </c:pt>
                <c:pt idx="11">
                  <c:v>10116.32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'📈 Estatísticas'!K23</c:f>
              <c:strCache>
                <c:ptCount val="1"/>
                <c:pt idx="0">
                  <c:v>Trend Saídas</c:v>
                </c:pt>
              </c:strCache>
            </c:strRef>
          </c:tx>
          <c:spPr>
            <a:solidFill>
              <a:srgbClr val="D97706"/>
            </a:solidFill>
            <a:ln w="20160">
              <a:solidFill>
                <a:srgbClr val="D9770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Estatísticas'!$F$24:$F$35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'📈 Estatísticas'!$K$24:$K$35</c:f>
              <c:numCache>
                <c:formatCode>"R$ "#,##0.00</c:formatCode>
                <c:ptCount val="12"/>
                <c:pt idx="0">
                  <c:v>7196.52</c:v>
                </c:pt>
                <c:pt idx="1">
                  <c:v>7234.83</c:v>
                </c:pt>
                <c:pt idx="2">
                  <c:v>7273.14</c:v>
                </c:pt>
                <c:pt idx="3">
                  <c:v>7311.45</c:v>
                </c:pt>
                <c:pt idx="4">
                  <c:v>7349.76</c:v>
                </c:pt>
                <c:pt idx="5">
                  <c:v>7388.06</c:v>
                </c:pt>
                <c:pt idx="6">
                  <c:v>7426.37</c:v>
                </c:pt>
                <c:pt idx="7">
                  <c:v>7464.68</c:v>
                </c:pt>
                <c:pt idx="8">
                  <c:v>7502.99</c:v>
                </c:pt>
                <c:pt idx="9">
                  <c:v>7541.3</c:v>
                </c:pt>
                <c:pt idx="10">
                  <c:v>7579.6</c:v>
                </c:pt>
                <c:pt idx="11">
                  <c:v>7617.91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'📈 Estatísticas'!L23</c:f>
              <c:strCache>
                <c:ptCount val="1"/>
                <c:pt idx="0">
                  <c:v>M.Móvel 3M Saídas</c:v>
                </c:pt>
              </c:strCache>
            </c:strRef>
          </c:tx>
          <c:spPr>
            <a:solidFill>
              <a:srgbClr val="0891B2"/>
            </a:solidFill>
            <a:ln w="15120">
              <a:solidFill>
                <a:srgbClr val="0891B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Estatísticas'!$F$24:$F$35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'📈 Estatísticas'!$L$24:$L$35</c:f>
              <c:numCache>
                <c:formatCode>"R$ "#,##0.00</c:formatCode>
                <c:ptCount val="12"/>
                <c:pt idx="2">
                  <c:v>6910.5</c:v>
                </c:pt>
                <c:pt idx="3">
                  <c:v>6870.34</c:v>
                </c:pt>
                <c:pt idx="4">
                  <c:v>7063.9</c:v>
                </c:pt>
                <c:pt idx="5">
                  <c:v>7940.49</c:v>
                </c:pt>
                <c:pt idx="6">
                  <c:v>8042.98</c:v>
                </c:pt>
                <c:pt idx="7">
                  <c:v>7972.36</c:v>
                </c:pt>
                <c:pt idx="8">
                  <c:v>7105.04</c:v>
                </c:pt>
                <c:pt idx="9">
                  <c:v>7424.6</c:v>
                </c:pt>
                <c:pt idx="10">
                  <c:v>7243.97</c:v>
                </c:pt>
                <c:pt idx="11">
                  <c:v>7672.85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193100"/>
        <c:axId val="9352554"/>
      </c:lineChart>
      <c:catAx>
        <c:axId val="111931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52554"/>
        <c:crosses val="autoZero"/>
        <c:auto val="1"/>
        <c:lblAlgn val="ctr"/>
        <c:lblOffset val="100"/>
        <c:noMultiLvlLbl val="0"/>
      </c:catAx>
      <c:valAx>
        <c:axId val="93525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1931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Distribuição Z-Score por Valor (Detecção de Outliers)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0"/>
      <c:rotY val="25"/>
      <c:rAngAx val="0"/>
      <c:perspective val="4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0">
          <a:noFill/>
        </a:ln>
      </c:spPr>
    </c:sideWall>
    <c:backWall>
      <c:spPr>
        <a:noFill/>
        <a:ln w="0">
          <a:noFill/>
        </a:ln>
      </c:spPr>
    </c:backWall>
    <c:plotArea>
      <c:scatterChart>
        <c:scatterStyle val="line"/>
        <c:varyColors val="0"/>
        <c:ser>
          <c:idx val="0"/>
          <c:order val="0"/>
          <c:tx>
            <c:strRef>
              <c:f>"Transações"</c:f>
              <c:strCache>
                <c:ptCount val="1"/>
                <c:pt idx="0">
                  <c:v>Transações</c:v>
                </c:pt>
              </c:strCache>
            </c:strRef>
          </c:tx>
          <c:spPr>
            <a:solidFill>
              <a:srgbClr val="365D89"/>
            </a:solidFill>
            <a:ln w="0">
              <a:noFill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'⚠️ Outliers'!$N$15:$N$298</c:f>
              <c:numCache>
                <c:formatCode>"R$ "#,##0.00</c:formatCode>
                <c:ptCount val="284"/>
                <c:pt idx="0">
                  <c:v>15.91</c:v>
                </c:pt>
                <c:pt idx="1">
                  <c:v>16.4</c:v>
                </c:pt>
                <c:pt idx="2">
                  <c:v>17.33</c:v>
                </c:pt>
                <c:pt idx="3">
                  <c:v>26.46</c:v>
                </c:pt>
                <c:pt idx="4">
                  <c:v>27.47</c:v>
                </c:pt>
                <c:pt idx="5">
                  <c:v>31.79</c:v>
                </c:pt>
                <c:pt idx="6">
                  <c:v>32.45</c:v>
                </c:pt>
                <c:pt idx="7">
                  <c:v>34.33</c:v>
                </c:pt>
                <c:pt idx="8">
                  <c:v>34.54</c:v>
                </c:pt>
                <c:pt idx="9">
                  <c:v>34.91</c:v>
                </c:pt>
                <c:pt idx="10">
                  <c:v>37.08</c:v>
                </c:pt>
                <c:pt idx="11">
                  <c:v>37.16</c:v>
                </c:pt>
                <c:pt idx="12">
                  <c:v>38.08</c:v>
                </c:pt>
                <c:pt idx="13">
                  <c:v>38.32</c:v>
                </c:pt>
                <c:pt idx="14">
                  <c:v>40.89</c:v>
                </c:pt>
                <c:pt idx="15">
                  <c:v>41.18</c:v>
                </c:pt>
                <c:pt idx="16">
                  <c:v>41.91</c:v>
                </c:pt>
                <c:pt idx="17">
                  <c:v>43.95</c:v>
                </c:pt>
                <c:pt idx="18">
                  <c:v>44.06</c:v>
                </c:pt>
                <c:pt idx="19">
                  <c:v>44.12</c:v>
                </c:pt>
                <c:pt idx="20">
                  <c:v>44.13</c:v>
                </c:pt>
                <c:pt idx="21">
                  <c:v>47.25</c:v>
                </c:pt>
                <c:pt idx="22">
                  <c:v>49.56</c:v>
                </c:pt>
                <c:pt idx="23">
                  <c:v>50.32</c:v>
                </c:pt>
                <c:pt idx="24">
                  <c:v>52.77</c:v>
                </c:pt>
                <c:pt idx="25">
                  <c:v>54.13</c:v>
                </c:pt>
                <c:pt idx="26">
                  <c:v>54.33</c:v>
                </c:pt>
                <c:pt idx="27">
                  <c:v>55.52</c:v>
                </c:pt>
                <c:pt idx="28">
                  <c:v>55.69</c:v>
                </c:pt>
                <c:pt idx="29">
                  <c:v>56.85</c:v>
                </c:pt>
                <c:pt idx="30">
                  <c:v>57.05</c:v>
                </c:pt>
                <c:pt idx="31">
                  <c:v>57.41</c:v>
                </c:pt>
                <c:pt idx="32">
                  <c:v>57.56</c:v>
                </c:pt>
                <c:pt idx="33">
                  <c:v>57.58</c:v>
                </c:pt>
                <c:pt idx="34">
                  <c:v>58.15</c:v>
                </c:pt>
                <c:pt idx="35">
                  <c:v>58.61</c:v>
                </c:pt>
                <c:pt idx="36">
                  <c:v>59.01</c:v>
                </c:pt>
                <c:pt idx="37">
                  <c:v>59.3</c:v>
                </c:pt>
                <c:pt idx="38">
                  <c:v>60.45</c:v>
                </c:pt>
                <c:pt idx="39">
                  <c:v>60.51</c:v>
                </c:pt>
                <c:pt idx="40">
                  <c:v>61.03</c:v>
                </c:pt>
                <c:pt idx="41">
                  <c:v>61.17</c:v>
                </c:pt>
                <c:pt idx="42">
                  <c:v>61.28</c:v>
                </c:pt>
                <c:pt idx="43">
                  <c:v>62.14</c:v>
                </c:pt>
                <c:pt idx="44">
                  <c:v>63.77</c:v>
                </c:pt>
                <c:pt idx="45">
                  <c:v>64.09</c:v>
                </c:pt>
                <c:pt idx="46">
                  <c:v>64.62</c:v>
                </c:pt>
                <c:pt idx="47">
                  <c:v>64.75</c:v>
                </c:pt>
                <c:pt idx="48">
                  <c:v>65.52</c:v>
                </c:pt>
                <c:pt idx="49">
                  <c:v>65.74</c:v>
                </c:pt>
                <c:pt idx="50">
                  <c:v>66.4</c:v>
                </c:pt>
                <c:pt idx="51">
                  <c:v>66.91</c:v>
                </c:pt>
                <c:pt idx="52">
                  <c:v>67.05</c:v>
                </c:pt>
                <c:pt idx="53">
                  <c:v>68.52</c:v>
                </c:pt>
                <c:pt idx="54">
                  <c:v>70.03</c:v>
                </c:pt>
                <c:pt idx="55">
                  <c:v>72.07</c:v>
                </c:pt>
                <c:pt idx="56">
                  <c:v>72.08</c:v>
                </c:pt>
                <c:pt idx="57">
                  <c:v>72.48</c:v>
                </c:pt>
                <c:pt idx="58">
                  <c:v>73.63</c:v>
                </c:pt>
                <c:pt idx="59">
                  <c:v>74.96</c:v>
                </c:pt>
                <c:pt idx="60">
                  <c:v>75.15</c:v>
                </c:pt>
                <c:pt idx="61">
                  <c:v>76.94</c:v>
                </c:pt>
                <c:pt idx="62">
                  <c:v>78.15</c:v>
                </c:pt>
                <c:pt idx="63">
                  <c:v>78.53</c:v>
                </c:pt>
                <c:pt idx="64">
                  <c:v>78.57</c:v>
                </c:pt>
                <c:pt idx="65">
                  <c:v>82.39</c:v>
                </c:pt>
                <c:pt idx="66">
                  <c:v>82.61</c:v>
                </c:pt>
                <c:pt idx="67">
                  <c:v>83.24</c:v>
                </c:pt>
                <c:pt idx="68">
                  <c:v>83.43</c:v>
                </c:pt>
                <c:pt idx="69">
                  <c:v>84.21</c:v>
                </c:pt>
                <c:pt idx="70">
                  <c:v>84.57</c:v>
                </c:pt>
                <c:pt idx="71">
                  <c:v>85.04</c:v>
                </c:pt>
                <c:pt idx="72">
                  <c:v>85.23</c:v>
                </c:pt>
                <c:pt idx="73">
                  <c:v>86.31</c:v>
                </c:pt>
                <c:pt idx="74">
                  <c:v>86.69</c:v>
                </c:pt>
                <c:pt idx="75">
                  <c:v>87.01</c:v>
                </c:pt>
                <c:pt idx="76">
                  <c:v>87.14</c:v>
                </c:pt>
                <c:pt idx="77">
                  <c:v>87.46</c:v>
                </c:pt>
                <c:pt idx="78">
                  <c:v>88.27</c:v>
                </c:pt>
                <c:pt idx="79">
                  <c:v>88.34</c:v>
                </c:pt>
                <c:pt idx="80">
                  <c:v>88.5</c:v>
                </c:pt>
                <c:pt idx="81">
                  <c:v>89.8</c:v>
                </c:pt>
                <c:pt idx="82">
                  <c:v>90.62</c:v>
                </c:pt>
                <c:pt idx="83">
                  <c:v>91.37</c:v>
                </c:pt>
                <c:pt idx="84">
                  <c:v>92.87</c:v>
                </c:pt>
                <c:pt idx="85">
                  <c:v>93.07</c:v>
                </c:pt>
                <c:pt idx="86">
                  <c:v>94.18</c:v>
                </c:pt>
                <c:pt idx="87">
                  <c:v>95.02</c:v>
                </c:pt>
                <c:pt idx="88">
                  <c:v>95.23</c:v>
                </c:pt>
                <c:pt idx="89">
                  <c:v>96.26</c:v>
                </c:pt>
                <c:pt idx="90">
                  <c:v>97.01</c:v>
                </c:pt>
                <c:pt idx="91">
                  <c:v>97.22</c:v>
                </c:pt>
                <c:pt idx="92">
                  <c:v>99.45</c:v>
                </c:pt>
                <c:pt idx="93">
                  <c:v>100.3</c:v>
                </c:pt>
                <c:pt idx="94">
                  <c:v>100.8</c:v>
                </c:pt>
                <c:pt idx="95">
                  <c:v>102.12</c:v>
                </c:pt>
                <c:pt idx="96">
                  <c:v>102.96</c:v>
                </c:pt>
                <c:pt idx="97">
                  <c:v>104.91</c:v>
                </c:pt>
                <c:pt idx="98">
                  <c:v>107.51</c:v>
                </c:pt>
                <c:pt idx="99">
                  <c:v>107.69</c:v>
                </c:pt>
                <c:pt idx="100">
                  <c:v>109.01</c:v>
                </c:pt>
                <c:pt idx="101">
                  <c:v>109.1</c:v>
                </c:pt>
                <c:pt idx="102">
                  <c:v>109.18</c:v>
                </c:pt>
                <c:pt idx="103">
                  <c:v>109.81</c:v>
                </c:pt>
                <c:pt idx="104">
                  <c:v>111.33</c:v>
                </c:pt>
                <c:pt idx="105">
                  <c:v>111.92</c:v>
                </c:pt>
                <c:pt idx="106">
                  <c:v>112.95</c:v>
                </c:pt>
                <c:pt idx="107">
                  <c:v>115.23</c:v>
                </c:pt>
                <c:pt idx="108">
                  <c:v>115.56</c:v>
                </c:pt>
                <c:pt idx="109">
                  <c:v>115.81</c:v>
                </c:pt>
                <c:pt idx="110">
                  <c:v>117.74</c:v>
                </c:pt>
                <c:pt idx="111">
                  <c:v>120.09</c:v>
                </c:pt>
                <c:pt idx="112">
                  <c:v>125.74</c:v>
                </c:pt>
                <c:pt idx="113">
                  <c:v>126.44</c:v>
                </c:pt>
                <c:pt idx="114">
                  <c:v>129.11</c:v>
                </c:pt>
                <c:pt idx="115">
                  <c:v>131.14</c:v>
                </c:pt>
                <c:pt idx="116">
                  <c:v>133.88</c:v>
                </c:pt>
                <c:pt idx="117">
                  <c:v>139.58</c:v>
                </c:pt>
                <c:pt idx="118">
                  <c:v>140.03</c:v>
                </c:pt>
                <c:pt idx="119">
                  <c:v>140.09</c:v>
                </c:pt>
                <c:pt idx="120">
                  <c:v>142.42</c:v>
                </c:pt>
                <c:pt idx="121">
                  <c:v>142.68</c:v>
                </c:pt>
                <c:pt idx="122">
                  <c:v>143.42</c:v>
                </c:pt>
                <c:pt idx="123">
                  <c:v>143.47</c:v>
                </c:pt>
                <c:pt idx="124">
                  <c:v>143.9</c:v>
                </c:pt>
                <c:pt idx="125">
                  <c:v>145.88</c:v>
                </c:pt>
                <c:pt idx="126">
                  <c:v>146.92</c:v>
                </c:pt>
                <c:pt idx="127">
                  <c:v>147.3</c:v>
                </c:pt>
                <c:pt idx="128">
                  <c:v>148.11</c:v>
                </c:pt>
                <c:pt idx="129">
                  <c:v>148.92</c:v>
                </c:pt>
                <c:pt idx="130">
                  <c:v>152.74</c:v>
                </c:pt>
                <c:pt idx="131">
                  <c:v>152.81</c:v>
                </c:pt>
                <c:pt idx="132">
                  <c:v>153.09</c:v>
                </c:pt>
                <c:pt idx="133">
                  <c:v>155.38</c:v>
                </c:pt>
                <c:pt idx="134">
                  <c:v>156.22</c:v>
                </c:pt>
                <c:pt idx="135">
                  <c:v>157.79</c:v>
                </c:pt>
                <c:pt idx="136">
                  <c:v>163.26</c:v>
                </c:pt>
                <c:pt idx="137">
                  <c:v>164.62</c:v>
                </c:pt>
                <c:pt idx="138">
                  <c:v>165.8</c:v>
                </c:pt>
                <c:pt idx="139">
                  <c:v>169.42</c:v>
                </c:pt>
                <c:pt idx="140">
                  <c:v>172.92</c:v>
                </c:pt>
                <c:pt idx="141">
                  <c:v>174.3</c:v>
                </c:pt>
                <c:pt idx="142">
                  <c:v>175.01</c:v>
                </c:pt>
                <c:pt idx="143">
                  <c:v>177.46</c:v>
                </c:pt>
                <c:pt idx="144">
                  <c:v>178.73</c:v>
                </c:pt>
                <c:pt idx="145">
                  <c:v>185.31</c:v>
                </c:pt>
                <c:pt idx="146">
                  <c:v>185.58</c:v>
                </c:pt>
                <c:pt idx="147">
                  <c:v>185.92</c:v>
                </c:pt>
                <c:pt idx="148">
                  <c:v>185.99</c:v>
                </c:pt>
                <c:pt idx="149">
                  <c:v>190.1</c:v>
                </c:pt>
                <c:pt idx="150">
                  <c:v>191.1</c:v>
                </c:pt>
                <c:pt idx="151">
                  <c:v>191.83</c:v>
                </c:pt>
                <c:pt idx="152">
                  <c:v>199.32</c:v>
                </c:pt>
                <c:pt idx="153">
                  <c:v>199.58</c:v>
                </c:pt>
                <c:pt idx="154">
                  <c:v>202.26</c:v>
                </c:pt>
                <c:pt idx="155">
                  <c:v>203.16</c:v>
                </c:pt>
                <c:pt idx="156">
                  <c:v>205.97</c:v>
                </c:pt>
                <c:pt idx="157">
                  <c:v>208.21</c:v>
                </c:pt>
                <c:pt idx="158">
                  <c:v>208.89</c:v>
                </c:pt>
                <c:pt idx="159">
                  <c:v>209.59</c:v>
                </c:pt>
                <c:pt idx="160">
                  <c:v>214.03</c:v>
                </c:pt>
                <c:pt idx="161">
                  <c:v>214.88</c:v>
                </c:pt>
                <c:pt idx="162">
                  <c:v>216.59</c:v>
                </c:pt>
                <c:pt idx="163">
                  <c:v>216.84</c:v>
                </c:pt>
                <c:pt idx="164">
                  <c:v>217.04</c:v>
                </c:pt>
                <c:pt idx="165">
                  <c:v>218.23</c:v>
                </c:pt>
                <c:pt idx="166">
                  <c:v>218.49</c:v>
                </c:pt>
                <c:pt idx="167">
                  <c:v>225.04</c:v>
                </c:pt>
                <c:pt idx="168">
                  <c:v>228.46</c:v>
                </c:pt>
                <c:pt idx="169">
                  <c:v>233.16</c:v>
                </c:pt>
                <c:pt idx="170">
                  <c:v>239.45</c:v>
                </c:pt>
                <c:pt idx="171">
                  <c:v>239.58</c:v>
                </c:pt>
                <c:pt idx="172">
                  <c:v>256.61</c:v>
                </c:pt>
                <c:pt idx="173">
                  <c:v>257.74</c:v>
                </c:pt>
                <c:pt idx="174">
                  <c:v>258.73</c:v>
                </c:pt>
                <c:pt idx="175">
                  <c:v>262.06</c:v>
                </c:pt>
                <c:pt idx="176">
                  <c:v>263.25</c:v>
                </c:pt>
                <c:pt idx="177">
                  <c:v>263.42</c:v>
                </c:pt>
                <c:pt idx="178">
                  <c:v>274.73</c:v>
                </c:pt>
                <c:pt idx="179">
                  <c:v>275.6</c:v>
                </c:pt>
                <c:pt idx="180">
                  <c:v>278.22</c:v>
                </c:pt>
                <c:pt idx="181">
                  <c:v>278.22</c:v>
                </c:pt>
                <c:pt idx="182">
                  <c:v>282.95</c:v>
                </c:pt>
                <c:pt idx="183">
                  <c:v>283.48</c:v>
                </c:pt>
                <c:pt idx="184">
                  <c:v>288.02</c:v>
                </c:pt>
                <c:pt idx="185">
                  <c:v>288.62</c:v>
                </c:pt>
                <c:pt idx="186">
                  <c:v>301.49</c:v>
                </c:pt>
                <c:pt idx="187">
                  <c:v>302.15</c:v>
                </c:pt>
                <c:pt idx="188">
                  <c:v>305.21</c:v>
                </c:pt>
                <c:pt idx="189">
                  <c:v>306.46</c:v>
                </c:pt>
                <c:pt idx="190">
                  <c:v>310.01</c:v>
                </c:pt>
                <c:pt idx="191">
                  <c:v>321.9</c:v>
                </c:pt>
                <c:pt idx="192">
                  <c:v>328.06</c:v>
                </c:pt>
                <c:pt idx="193">
                  <c:v>335.44</c:v>
                </c:pt>
                <c:pt idx="194">
                  <c:v>340.99</c:v>
                </c:pt>
                <c:pt idx="195">
                  <c:v>344.29</c:v>
                </c:pt>
                <c:pt idx="196">
                  <c:v>348.49</c:v>
                </c:pt>
                <c:pt idx="197">
                  <c:v>352.6</c:v>
                </c:pt>
                <c:pt idx="198">
                  <c:v>359.15</c:v>
                </c:pt>
                <c:pt idx="199">
                  <c:v>367.05</c:v>
                </c:pt>
                <c:pt idx="200">
                  <c:v>373.63</c:v>
                </c:pt>
                <c:pt idx="201">
                  <c:v>375.73</c:v>
                </c:pt>
                <c:pt idx="202">
                  <c:v>380.31</c:v>
                </c:pt>
                <c:pt idx="203">
                  <c:v>382.32</c:v>
                </c:pt>
                <c:pt idx="204">
                  <c:v>387.75</c:v>
                </c:pt>
                <c:pt idx="205">
                  <c:v>392.31</c:v>
                </c:pt>
                <c:pt idx="206">
                  <c:v>401.06</c:v>
                </c:pt>
                <c:pt idx="207">
                  <c:v>405.7</c:v>
                </c:pt>
                <c:pt idx="208">
                  <c:v>418.64</c:v>
                </c:pt>
                <c:pt idx="209">
                  <c:v>419.19</c:v>
                </c:pt>
                <c:pt idx="210">
                  <c:v>419.52</c:v>
                </c:pt>
                <c:pt idx="211">
                  <c:v>423.35</c:v>
                </c:pt>
                <c:pt idx="212">
                  <c:v>432.53</c:v>
                </c:pt>
                <c:pt idx="213">
                  <c:v>434.63</c:v>
                </c:pt>
                <c:pt idx="214">
                  <c:v>435.97</c:v>
                </c:pt>
                <c:pt idx="215">
                  <c:v>443.84</c:v>
                </c:pt>
                <c:pt idx="216">
                  <c:v>445.31</c:v>
                </c:pt>
                <c:pt idx="217">
                  <c:v>452.94</c:v>
                </c:pt>
                <c:pt idx="218">
                  <c:v>452.98</c:v>
                </c:pt>
                <c:pt idx="219">
                  <c:v>457.19</c:v>
                </c:pt>
                <c:pt idx="220">
                  <c:v>458.26</c:v>
                </c:pt>
                <c:pt idx="221">
                  <c:v>460.77</c:v>
                </c:pt>
                <c:pt idx="222">
                  <c:v>463.5</c:v>
                </c:pt>
                <c:pt idx="223">
                  <c:v>465.95</c:v>
                </c:pt>
                <c:pt idx="224">
                  <c:v>470.1</c:v>
                </c:pt>
                <c:pt idx="225">
                  <c:v>474.12</c:v>
                </c:pt>
                <c:pt idx="226">
                  <c:v>475.89</c:v>
                </c:pt>
                <c:pt idx="227">
                  <c:v>485.01</c:v>
                </c:pt>
                <c:pt idx="228">
                  <c:v>487.56</c:v>
                </c:pt>
                <c:pt idx="229">
                  <c:v>488.23</c:v>
                </c:pt>
                <c:pt idx="230">
                  <c:v>489.25</c:v>
                </c:pt>
                <c:pt idx="231">
                  <c:v>492.6</c:v>
                </c:pt>
                <c:pt idx="232">
                  <c:v>501.93</c:v>
                </c:pt>
                <c:pt idx="233">
                  <c:v>509.54</c:v>
                </c:pt>
                <c:pt idx="234">
                  <c:v>511.62</c:v>
                </c:pt>
                <c:pt idx="235">
                  <c:v>516.81</c:v>
                </c:pt>
                <c:pt idx="236">
                  <c:v>528.51</c:v>
                </c:pt>
                <c:pt idx="237">
                  <c:v>540.16</c:v>
                </c:pt>
                <c:pt idx="238">
                  <c:v>542</c:v>
                </c:pt>
                <c:pt idx="239">
                  <c:v>547.73</c:v>
                </c:pt>
                <c:pt idx="240">
                  <c:v>561.29</c:v>
                </c:pt>
                <c:pt idx="241">
                  <c:v>565.87</c:v>
                </c:pt>
                <c:pt idx="242">
                  <c:v>566.58</c:v>
                </c:pt>
                <c:pt idx="243">
                  <c:v>576.02</c:v>
                </c:pt>
                <c:pt idx="244">
                  <c:v>579.03</c:v>
                </c:pt>
                <c:pt idx="245">
                  <c:v>585.67</c:v>
                </c:pt>
                <c:pt idx="246">
                  <c:v>594.87</c:v>
                </c:pt>
                <c:pt idx="247">
                  <c:v>596.33</c:v>
                </c:pt>
                <c:pt idx="248">
                  <c:v>599.45</c:v>
                </c:pt>
                <c:pt idx="249">
                  <c:v>616.26</c:v>
                </c:pt>
                <c:pt idx="250">
                  <c:v>624.47</c:v>
                </c:pt>
                <c:pt idx="251">
                  <c:v>632.89</c:v>
                </c:pt>
                <c:pt idx="252">
                  <c:v>633.52</c:v>
                </c:pt>
                <c:pt idx="253">
                  <c:v>645.38</c:v>
                </c:pt>
                <c:pt idx="254">
                  <c:v>647.63</c:v>
                </c:pt>
                <c:pt idx="255">
                  <c:v>657.72</c:v>
                </c:pt>
                <c:pt idx="256">
                  <c:v>663.36</c:v>
                </c:pt>
                <c:pt idx="257">
                  <c:v>667.58</c:v>
                </c:pt>
                <c:pt idx="258">
                  <c:v>713.16</c:v>
                </c:pt>
                <c:pt idx="259">
                  <c:v>722.5</c:v>
                </c:pt>
                <c:pt idx="260">
                  <c:v>732.25</c:v>
                </c:pt>
                <c:pt idx="261">
                  <c:v>732.42</c:v>
                </c:pt>
                <c:pt idx="262">
                  <c:v>740.07</c:v>
                </c:pt>
                <c:pt idx="263">
                  <c:v>790.47</c:v>
                </c:pt>
                <c:pt idx="264">
                  <c:v>791.32</c:v>
                </c:pt>
                <c:pt idx="265">
                  <c:v>796.53</c:v>
                </c:pt>
                <c:pt idx="266">
                  <c:v>823.94</c:v>
                </c:pt>
                <c:pt idx="267">
                  <c:v>859.2</c:v>
                </c:pt>
                <c:pt idx="268">
                  <c:v>915.47</c:v>
                </c:pt>
                <c:pt idx="269">
                  <c:v>916.66</c:v>
                </c:pt>
                <c:pt idx="270">
                  <c:v>944.42</c:v>
                </c:pt>
                <c:pt idx="271">
                  <c:v>991.96</c:v>
                </c:pt>
                <c:pt idx="272">
                  <c:v>1023.54</c:v>
                </c:pt>
                <c:pt idx="273">
                  <c:v>1064.37</c:v>
                </c:pt>
                <c:pt idx="274">
                  <c:v>1069.67</c:v>
                </c:pt>
                <c:pt idx="275">
                  <c:v>1097.73</c:v>
                </c:pt>
                <c:pt idx="276">
                  <c:v>1122.17</c:v>
                </c:pt>
                <c:pt idx="277">
                  <c:v>1191.19</c:v>
                </c:pt>
                <c:pt idx="278">
                  <c:v>1278.63</c:v>
                </c:pt>
                <c:pt idx="279">
                  <c:v>1630.39</c:v>
                </c:pt>
                <c:pt idx="280">
                  <c:v>2408.29</c:v>
                </c:pt>
                <c:pt idx="281">
                  <c:v>2649.39</c:v>
                </c:pt>
                <c:pt idx="282">
                  <c:v>3002.05</c:v>
                </c:pt>
                <c:pt idx="283">
                  <c:v>3465.69</c:v>
                </c:pt>
              </c:numCache>
            </c:numRef>
          </c:xVal>
          <c:yVal>
            <c:numRef>
              <c:f>'⚠️ Outliers'!$O$15:$O$298</c:f>
              <c:numCache>
                <c:formatCode>0.00</c:formatCode>
                <c:ptCount val="284"/>
                <c:pt idx="0">
                  <c:v>-0.7273</c:v>
                </c:pt>
                <c:pt idx="1">
                  <c:v>-0.7261</c:v>
                </c:pt>
                <c:pt idx="2">
                  <c:v>-0.7238</c:v>
                </c:pt>
                <c:pt idx="3">
                  <c:v>-0.7015</c:v>
                </c:pt>
                <c:pt idx="4">
                  <c:v>-0.699</c:v>
                </c:pt>
                <c:pt idx="5">
                  <c:v>-0.6884</c:v>
                </c:pt>
                <c:pt idx="6">
                  <c:v>-0.6868</c:v>
                </c:pt>
                <c:pt idx="7">
                  <c:v>-0.6822</c:v>
                </c:pt>
                <c:pt idx="8">
                  <c:v>-0.6817</c:v>
                </c:pt>
                <c:pt idx="9">
                  <c:v>-0.6808</c:v>
                </c:pt>
                <c:pt idx="10">
                  <c:v>-0.6755</c:v>
                </c:pt>
                <c:pt idx="11">
                  <c:v>-0.6753</c:v>
                </c:pt>
                <c:pt idx="12">
                  <c:v>-0.673</c:v>
                </c:pt>
                <c:pt idx="13">
                  <c:v>-0.6724</c:v>
                </c:pt>
                <c:pt idx="14">
                  <c:v>-0.6661</c:v>
                </c:pt>
                <c:pt idx="15">
                  <c:v>-0.6654</c:v>
                </c:pt>
                <c:pt idx="16">
                  <c:v>-0.6636</c:v>
                </c:pt>
                <c:pt idx="17">
                  <c:v>-0.6586</c:v>
                </c:pt>
                <c:pt idx="18">
                  <c:v>-0.6584</c:v>
                </c:pt>
                <c:pt idx="19">
                  <c:v>-0.6582</c:v>
                </c:pt>
                <c:pt idx="20">
                  <c:v>-0.6582</c:v>
                </c:pt>
                <c:pt idx="21">
                  <c:v>-0.6506</c:v>
                </c:pt>
                <c:pt idx="22">
                  <c:v>-0.6449</c:v>
                </c:pt>
                <c:pt idx="23">
                  <c:v>-0.6431</c:v>
                </c:pt>
                <c:pt idx="24">
                  <c:v>-0.6371</c:v>
                </c:pt>
                <c:pt idx="25">
                  <c:v>-0.6337</c:v>
                </c:pt>
                <c:pt idx="26">
                  <c:v>-0.6332</c:v>
                </c:pt>
                <c:pt idx="27">
                  <c:v>-0.6303</c:v>
                </c:pt>
                <c:pt idx="28">
                  <c:v>-0.6299</c:v>
                </c:pt>
                <c:pt idx="29">
                  <c:v>-0.6271</c:v>
                </c:pt>
                <c:pt idx="30">
                  <c:v>-0.6266</c:v>
                </c:pt>
                <c:pt idx="31">
                  <c:v>-0.6257</c:v>
                </c:pt>
                <c:pt idx="32">
                  <c:v>-0.6253</c:v>
                </c:pt>
                <c:pt idx="33">
                  <c:v>-0.6253</c:v>
                </c:pt>
                <c:pt idx="34">
                  <c:v>-0.6239</c:v>
                </c:pt>
                <c:pt idx="35">
                  <c:v>-0.6228</c:v>
                </c:pt>
                <c:pt idx="36">
                  <c:v>-0.6218</c:v>
                </c:pt>
                <c:pt idx="37">
                  <c:v>-0.6211</c:v>
                </c:pt>
                <c:pt idx="38">
                  <c:v>-0.6183</c:v>
                </c:pt>
                <c:pt idx="39">
                  <c:v>-0.6181</c:v>
                </c:pt>
                <c:pt idx="40">
                  <c:v>-0.6168</c:v>
                </c:pt>
                <c:pt idx="41">
                  <c:v>-0.6165</c:v>
                </c:pt>
                <c:pt idx="42">
                  <c:v>-0.6162</c:v>
                </c:pt>
                <c:pt idx="43">
                  <c:v>-0.6141</c:v>
                </c:pt>
                <c:pt idx="44">
                  <c:v>-0.6101</c:v>
                </c:pt>
                <c:pt idx="45">
                  <c:v>-0.6093</c:v>
                </c:pt>
                <c:pt idx="46">
                  <c:v>-0.608</c:v>
                </c:pt>
                <c:pt idx="47">
                  <c:v>-0.6077</c:v>
                </c:pt>
                <c:pt idx="48">
                  <c:v>-0.6058</c:v>
                </c:pt>
                <c:pt idx="49">
                  <c:v>-0.6053</c:v>
                </c:pt>
                <c:pt idx="50">
                  <c:v>-0.6037</c:v>
                </c:pt>
                <c:pt idx="51">
                  <c:v>-0.6024</c:v>
                </c:pt>
                <c:pt idx="52">
                  <c:v>-0.6021</c:v>
                </c:pt>
                <c:pt idx="53">
                  <c:v>-0.5985</c:v>
                </c:pt>
                <c:pt idx="54">
                  <c:v>-0.5948</c:v>
                </c:pt>
                <c:pt idx="55">
                  <c:v>-0.5898</c:v>
                </c:pt>
                <c:pt idx="56">
                  <c:v>-0.5898</c:v>
                </c:pt>
                <c:pt idx="57">
                  <c:v>-0.5888</c:v>
                </c:pt>
                <c:pt idx="58">
                  <c:v>-0.586</c:v>
                </c:pt>
                <c:pt idx="59">
                  <c:v>-0.5827</c:v>
                </c:pt>
                <c:pt idx="60">
                  <c:v>-0.5823</c:v>
                </c:pt>
                <c:pt idx="61">
                  <c:v>-0.5779</c:v>
                </c:pt>
                <c:pt idx="62">
                  <c:v>-0.5749</c:v>
                </c:pt>
                <c:pt idx="63">
                  <c:v>-0.574</c:v>
                </c:pt>
                <c:pt idx="64">
                  <c:v>-0.5739</c:v>
                </c:pt>
                <c:pt idx="65">
                  <c:v>-0.5645</c:v>
                </c:pt>
                <c:pt idx="66">
                  <c:v>-0.564</c:v>
                </c:pt>
                <c:pt idx="67">
                  <c:v>-0.5625</c:v>
                </c:pt>
                <c:pt idx="68">
                  <c:v>-0.562</c:v>
                </c:pt>
                <c:pt idx="69">
                  <c:v>-0.5601</c:v>
                </c:pt>
                <c:pt idx="70">
                  <c:v>-0.5592</c:v>
                </c:pt>
                <c:pt idx="71">
                  <c:v>-0.5581</c:v>
                </c:pt>
                <c:pt idx="72">
                  <c:v>-0.5576</c:v>
                </c:pt>
                <c:pt idx="73">
                  <c:v>-0.5549</c:v>
                </c:pt>
                <c:pt idx="74">
                  <c:v>-0.554</c:v>
                </c:pt>
                <c:pt idx="75">
                  <c:v>-0.5532</c:v>
                </c:pt>
                <c:pt idx="76">
                  <c:v>-0.5529</c:v>
                </c:pt>
                <c:pt idx="77">
                  <c:v>-0.5521</c:v>
                </c:pt>
                <c:pt idx="78">
                  <c:v>-0.5501</c:v>
                </c:pt>
                <c:pt idx="79">
                  <c:v>-0.55</c:v>
                </c:pt>
                <c:pt idx="80">
                  <c:v>-0.5496</c:v>
                </c:pt>
                <c:pt idx="81">
                  <c:v>-0.5464</c:v>
                </c:pt>
                <c:pt idx="82">
                  <c:v>-0.5444</c:v>
                </c:pt>
                <c:pt idx="83">
                  <c:v>-0.5426</c:v>
                </c:pt>
                <c:pt idx="84">
                  <c:v>-0.5389</c:v>
                </c:pt>
                <c:pt idx="85">
                  <c:v>-0.5384</c:v>
                </c:pt>
                <c:pt idx="86">
                  <c:v>-0.5357</c:v>
                </c:pt>
                <c:pt idx="87">
                  <c:v>-0.5336</c:v>
                </c:pt>
                <c:pt idx="88">
                  <c:v>-0.5331</c:v>
                </c:pt>
                <c:pt idx="89">
                  <c:v>-0.5306</c:v>
                </c:pt>
                <c:pt idx="90">
                  <c:v>-0.5287</c:v>
                </c:pt>
                <c:pt idx="91">
                  <c:v>-0.5282</c:v>
                </c:pt>
                <c:pt idx="92">
                  <c:v>-0.5228</c:v>
                </c:pt>
                <c:pt idx="93">
                  <c:v>-0.5207</c:v>
                </c:pt>
                <c:pt idx="94">
                  <c:v>-0.5195</c:v>
                </c:pt>
                <c:pt idx="95">
                  <c:v>-0.5162</c:v>
                </c:pt>
                <c:pt idx="96">
                  <c:v>-0.5142</c:v>
                </c:pt>
                <c:pt idx="97">
                  <c:v>-0.5094</c:v>
                </c:pt>
                <c:pt idx="98">
                  <c:v>-0.503</c:v>
                </c:pt>
                <c:pt idx="99">
                  <c:v>-0.5026</c:v>
                </c:pt>
                <c:pt idx="100">
                  <c:v>-0.4994</c:v>
                </c:pt>
                <c:pt idx="101">
                  <c:v>-0.4991</c:v>
                </c:pt>
                <c:pt idx="102">
                  <c:v>-0.499</c:v>
                </c:pt>
                <c:pt idx="103">
                  <c:v>-0.4974</c:v>
                </c:pt>
                <c:pt idx="104">
                  <c:v>-0.4937</c:v>
                </c:pt>
                <c:pt idx="105">
                  <c:v>-0.4922</c:v>
                </c:pt>
                <c:pt idx="106">
                  <c:v>-0.4897</c:v>
                </c:pt>
                <c:pt idx="107">
                  <c:v>-0.4841</c:v>
                </c:pt>
                <c:pt idx="108">
                  <c:v>-0.4833</c:v>
                </c:pt>
                <c:pt idx="109">
                  <c:v>-0.4827</c:v>
                </c:pt>
                <c:pt idx="110">
                  <c:v>-0.478</c:v>
                </c:pt>
                <c:pt idx="111">
                  <c:v>-0.4722</c:v>
                </c:pt>
                <c:pt idx="112">
                  <c:v>-0.4584</c:v>
                </c:pt>
                <c:pt idx="113">
                  <c:v>-0.4567</c:v>
                </c:pt>
                <c:pt idx="114">
                  <c:v>-0.4502</c:v>
                </c:pt>
                <c:pt idx="115">
                  <c:v>-0.4452</c:v>
                </c:pt>
                <c:pt idx="116">
                  <c:v>-0.4385</c:v>
                </c:pt>
                <c:pt idx="117">
                  <c:v>-0.4245</c:v>
                </c:pt>
                <c:pt idx="118">
                  <c:v>-0.4234</c:v>
                </c:pt>
                <c:pt idx="119">
                  <c:v>-0.4233</c:v>
                </c:pt>
                <c:pt idx="120">
                  <c:v>-0.4176</c:v>
                </c:pt>
                <c:pt idx="121">
                  <c:v>-0.4169</c:v>
                </c:pt>
                <c:pt idx="122">
                  <c:v>-0.4151</c:v>
                </c:pt>
                <c:pt idx="123">
                  <c:v>-0.415</c:v>
                </c:pt>
                <c:pt idx="124">
                  <c:v>-0.4139</c:v>
                </c:pt>
                <c:pt idx="125">
                  <c:v>-0.4091</c:v>
                </c:pt>
                <c:pt idx="126">
                  <c:v>-0.4066</c:v>
                </c:pt>
                <c:pt idx="127">
                  <c:v>-0.4056</c:v>
                </c:pt>
                <c:pt idx="128">
                  <c:v>-0.4036</c:v>
                </c:pt>
                <c:pt idx="129">
                  <c:v>-0.4017</c:v>
                </c:pt>
                <c:pt idx="130">
                  <c:v>-0.3923</c:v>
                </c:pt>
                <c:pt idx="131">
                  <c:v>-0.3921</c:v>
                </c:pt>
                <c:pt idx="132">
                  <c:v>-0.3914</c:v>
                </c:pt>
                <c:pt idx="133">
                  <c:v>-0.3858</c:v>
                </c:pt>
                <c:pt idx="134">
                  <c:v>-0.3838</c:v>
                </c:pt>
                <c:pt idx="135">
                  <c:v>-0.3799</c:v>
                </c:pt>
                <c:pt idx="136">
                  <c:v>-0.3666</c:v>
                </c:pt>
                <c:pt idx="137">
                  <c:v>-0.3632</c:v>
                </c:pt>
                <c:pt idx="138">
                  <c:v>-0.3603</c:v>
                </c:pt>
                <c:pt idx="139">
                  <c:v>-0.3515</c:v>
                </c:pt>
                <c:pt idx="140">
                  <c:v>-0.3429</c:v>
                </c:pt>
                <c:pt idx="141">
                  <c:v>-0.3395</c:v>
                </c:pt>
                <c:pt idx="142">
                  <c:v>-0.3378</c:v>
                </c:pt>
                <c:pt idx="143">
                  <c:v>-0.3318</c:v>
                </c:pt>
                <c:pt idx="144">
                  <c:v>-0.3287</c:v>
                </c:pt>
                <c:pt idx="145">
                  <c:v>-0.3126</c:v>
                </c:pt>
                <c:pt idx="146">
                  <c:v>-0.3119</c:v>
                </c:pt>
                <c:pt idx="147">
                  <c:v>-0.3111</c:v>
                </c:pt>
                <c:pt idx="148">
                  <c:v>-0.3109</c:v>
                </c:pt>
                <c:pt idx="149">
                  <c:v>-0.3008</c:v>
                </c:pt>
                <c:pt idx="150">
                  <c:v>-0.2984</c:v>
                </c:pt>
                <c:pt idx="151">
                  <c:v>-0.2966</c:v>
                </c:pt>
                <c:pt idx="152">
                  <c:v>-0.2783</c:v>
                </c:pt>
                <c:pt idx="153">
                  <c:v>-0.2776</c:v>
                </c:pt>
                <c:pt idx="154">
                  <c:v>-0.2711</c:v>
                </c:pt>
                <c:pt idx="155">
                  <c:v>-0.2689</c:v>
                </c:pt>
                <c:pt idx="156">
                  <c:v>-0.262</c:v>
                </c:pt>
                <c:pt idx="157">
                  <c:v>-0.2565</c:v>
                </c:pt>
                <c:pt idx="158">
                  <c:v>-0.2548</c:v>
                </c:pt>
                <c:pt idx="159">
                  <c:v>-0.2531</c:v>
                </c:pt>
                <c:pt idx="160">
                  <c:v>-0.2423</c:v>
                </c:pt>
                <c:pt idx="161">
                  <c:v>-0.2402</c:v>
                </c:pt>
                <c:pt idx="162">
                  <c:v>-0.236</c:v>
                </c:pt>
                <c:pt idx="163">
                  <c:v>-0.2354</c:v>
                </c:pt>
                <c:pt idx="164">
                  <c:v>-0.2349</c:v>
                </c:pt>
                <c:pt idx="165">
                  <c:v>-0.232</c:v>
                </c:pt>
                <c:pt idx="166">
                  <c:v>-0.2313</c:v>
                </c:pt>
                <c:pt idx="167">
                  <c:v>-0.2153</c:v>
                </c:pt>
                <c:pt idx="168">
                  <c:v>-0.2069</c:v>
                </c:pt>
                <c:pt idx="169">
                  <c:v>-0.1954</c:v>
                </c:pt>
                <c:pt idx="170">
                  <c:v>-0.18</c:v>
                </c:pt>
                <c:pt idx="171">
                  <c:v>-0.1797</c:v>
                </c:pt>
                <c:pt idx="172">
                  <c:v>-0.138</c:v>
                </c:pt>
                <c:pt idx="173">
                  <c:v>-0.1352</c:v>
                </c:pt>
                <c:pt idx="174">
                  <c:v>-0.1328</c:v>
                </c:pt>
                <c:pt idx="175">
                  <c:v>-0.1247</c:v>
                </c:pt>
                <c:pt idx="176">
                  <c:v>-0.1218</c:v>
                </c:pt>
                <c:pt idx="177">
                  <c:v>-0.1213</c:v>
                </c:pt>
                <c:pt idx="178">
                  <c:v>-0.0936</c:v>
                </c:pt>
                <c:pt idx="179">
                  <c:v>-0.0915</c:v>
                </c:pt>
                <c:pt idx="180">
                  <c:v>-0.0851</c:v>
                </c:pt>
                <c:pt idx="181">
                  <c:v>-0.0851</c:v>
                </c:pt>
                <c:pt idx="182">
                  <c:v>-0.0735</c:v>
                </c:pt>
                <c:pt idx="183">
                  <c:v>-0.0722</c:v>
                </c:pt>
                <c:pt idx="184">
                  <c:v>-0.0611</c:v>
                </c:pt>
                <c:pt idx="185">
                  <c:v>-0.0596</c:v>
                </c:pt>
                <c:pt idx="186">
                  <c:v>-0.0281</c:v>
                </c:pt>
                <c:pt idx="187">
                  <c:v>-0.0265</c:v>
                </c:pt>
                <c:pt idx="188">
                  <c:v>-0.019</c:v>
                </c:pt>
                <c:pt idx="189">
                  <c:v>-0.016</c:v>
                </c:pt>
                <c:pt idx="190">
                  <c:v>-0.0073</c:v>
                </c:pt>
                <c:pt idx="191">
                  <c:v>0.0218</c:v>
                </c:pt>
                <c:pt idx="192">
                  <c:v>0.0369</c:v>
                </c:pt>
                <c:pt idx="193">
                  <c:v>0.055</c:v>
                </c:pt>
                <c:pt idx="194">
                  <c:v>0.0686</c:v>
                </c:pt>
                <c:pt idx="195">
                  <c:v>0.0767</c:v>
                </c:pt>
                <c:pt idx="196">
                  <c:v>0.0869</c:v>
                </c:pt>
                <c:pt idx="197">
                  <c:v>0.097</c:v>
                </c:pt>
                <c:pt idx="198">
                  <c:v>0.113</c:v>
                </c:pt>
                <c:pt idx="199">
                  <c:v>0.1324</c:v>
                </c:pt>
                <c:pt idx="200">
                  <c:v>0.1485</c:v>
                </c:pt>
                <c:pt idx="201">
                  <c:v>0.1536</c:v>
                </c:pt>
                <c:pt idx="202">
                  <c:v>0.1648</c:v>
                </c:pt>
                <c:pt idx="203">
                  <c:v>0.1698</c:v>
                </c:pt>
                <c:pt idx="204">
                  <c:v>0.1831</c:v>
                </c:pt>
                <c:pt idx="205">
                  <c:v>0.1942</c:v>
                </c:pt>
                <c:pt idx="206">
                  <c:v>0.2156</c:v>
                </c:pt>
                <c:pt idx="207">
                  <c:v>0.227</c:v>
                </c:pt>
                <c:pt idx="208">
                  <c:v>0.2587</c:v>
                </c:pt>
                <c:pt idx="209">
                  <c:v>0.26</c:v>
                </c:pt>
                <c:pt idx="210">
                  <c:v>0.2608</c:v>
                </c:pt>
                <c:pt idx="211">
                  <c:v>0.2702</c:v>
                </c:pt>
                <c:pt idx="212">
                  <c:v>0.2927</c:v>
                </c:pt>
                <c:pt idx="213">
                  <c:v>0.2978</c:v>
                </c:pt>
                <c:pt idx="214">
                  <c:v>0.3011</c:v>
                </c:pt>
                <c:pt idx="215">
                  <c:v>0.3204</c:v>
                </c:pt>
                <c:pt idx="216">
                  <c:v>0.324</c:v>
                </c:pt>
                <c:pt idx="217">
                  <c:v>0.3427</c:v>
                </c:pt>
                <c:pt idx="218">
                  <c:v>0.3427</c:v>
                </c:pt>
                <c:pt idx="219">
                  <c:v>0.3531</c:v>
                </c:pt>
                <c:pt idx="220">
                  <c:v>0.3557</c:v>
                </c:pt>
                <c:pt idx="221">
                  <c:v>0.3618</c:v>
                </c:pt>
                <c:pt idx="222">
                  <c:v>0.3685</c:v>
                </c:pt>
                <c:pt idx="223">
                  <c:v>0.3745</c:v>
                </c:pt>
                <c:pt idx="224">
                  <c:v>0.3847</c:v>
                </c:pt>
                <c:pt idx="225">
                  <c:v>0.3945</c:v>
                </c:pt>
                <c:pt idx="226">
                  <c:v>0.3988</c:v>
                </c:pt>
                <c:pt idx="227">
                  <c:v>0.4212</c:v>
                </c:pt>
                <c:pt idx="228">
                  <c:v>0.4274</c:v>
                </c:pt>
                <c:pt idx="229">
                  <c:v>0.429</c:v>
                </c:pt>
                <c:pt idx="230">
                  <c:v>0.4315</c:v>
                </c:pt>
                <c:pt idx="231">
                  <c:v>0.4397</c:v>
                </c:pt>
                <c:pt idx="232">
                  <c:v>0.4626</c:v>
                </c:pt>
                <c:pt idx="233">
                  <c:v>0.4812</c:v>
                </c:pt>
                <c:pt idx="234">
                  <c:v>0.4863</c:v>
                </c:pt>
                <c:pt idx="235">
                  <c:v>0.499</c:v>
                </c:pt>
                <c:pt idx="236">
                  <c:v>0.5277</c:v>
                </c:pt>
                <c:pt idx="237">
                  <c:v>0.5562</c:v>
                </c:pt>
                <c:pt idx="238">
                  <c:v>0.5607</c:v>
                </c:pt>
                <c:pt idx="239">
                  <c:v>0.5747</c:v>
                </c:pt>
                <c:pt idx="240">
                  <c:v>0.6079</c:v>
                </c:pt>
                <c:pt idx="241">
                  <c:v>0.6191</c:v>
                </c:pt>
                <c:pt idx="242">
                  <c:v>0.6209</c:v>
                </c:pt>
                <c:pt idx="243">
                  <c:v>0.644</c:v>
                </c:pt>
                <c:pt idx="244">
                  <c:v>0.6513</c:v>
                </c:pt>
                <c:pt idx="245">
                  <c:v>0.6676</c:v>
                </c:pt>
                <c:pt idx="246">
                  <c:v>0.6901</c:v>
                </c:pt>
                <c:pt idx="247">
                  <c:v>0.6937</c:v>
                </c:pt>
                <c:pt idx="248">
                  <c:v>0.7013</c:v>
                </c:pt>
                <c:pt idx="249">
                  <c:v>0.7425</c:v>
                </c:pt>
                <c:pt idx="250">
                  <c:v>0.7626</c:v>
                </c:pt>
                <c:pt idx="251">
                  <c:v>0.7832</c:v>
                </c:pt>
                <c:pt idx="252">
                  <c:v>0.7848</c:v>
                </c:pt>
                <c:pt idx="253">
                  <c:v>0.8138</c:v>
                </c:pt>
                <c:pt idx="254">
                  <c:v>0.8193</c:v>
                </c:pt>
                <c:pt idx="255">
                  <c:v>0.844</c:v>
                </c:pt>
                <c:pt idx="256">
                  <c:v>0.8578</c:v>
                </c:pt>
                <c:pt idx="257">
                  <c:v>0.8681</c:v>
                </c:pt>
                <c:pt idx="258">
                  <c:v>0.9797</c:v>
                </c:pt>
                <c:pt idx="259">
                  <c:v>1.0026</c:v>
                </c:pt>
                <c:pt idx="260">
                  <c:v>1.0265</c:v>
                </c:pt>
                <c:pt idx="261">
                  <c:v>1.0269</c:v>
                </c:pt>
                <c:pt idx="262">
                  <c:v>1.0456</c:v>
                </c:pt>
                <c:pt idx="263">
                  <c:v>1.169</c:v>
                </c:pt>
                <c:pt idx="264">
                  <c:v>1.1711</c:v>
                </c:pt>
                <c:pt idx="265">
                  <c:v>1.1838</c:v>
                </c:pt>
                <c:pt idx="266">
                  <c:v>1.2509</c:v>
                </c:pt>
                <c:pt idx="267">
                  <c:v>1.3373</c:v>
                </c:pt>
                <c:pt idx="268">
                  <c:v>1.475</c:v>
                </c:pt>
                <c:pt idx="269">
                  <c:v>1.4779</c:v>
                </c:pt>
                <c:pt idx="270">
                  <c:v>1.5459</c:v>
                </c:pt>
                <c:pt idx="271">
                  <c:v>1.6623</c:v>
                </c:pt>
                <c:pt idx="272">
                  <c:v>1.7396</c:v>
                </c:pt>
                <c:pt idx="273">
                  <c:v>1.8396</c:v>
                </c:pt>
                <c:pt idx="274">
                  <c:v>1.8525</c:v>
                </c:pt>
                <c:pt idx="275">
                  <c:v>1.9212</c:v>
                </c:pt>
                <c:pt idx="276">
                  <c:v>1.9811</c:v>
                </c:pt>
                <c:pt idx="277">
                  <c:v>2.15</c:v>
                </c:pt>
                <c:pt idx="278">
                  <c:v>2.3641</c:v>
                </c:pt>
                <c:pt idx="279">
                  <c:v>3.2253</c:v>
                </c:pt>
                <c:pt idx="280">
                  <c:v>5.1298</c:v>
                </c:pt>
                <c:pt idx="281">
                  <c:v>5.72</c:v>
                </c:pt>
                <c:pt idx="282">
                  <c:v>6.5834</c:v>
                </c:pt>
                <c:pt idx="283">
                  <c:v>7.7185</c:v>
                </c:pt>
              </c:numCache>
            </c:numRef>
          </c:yVal>
          <c:smooth val="1"/>
        </c:ser>
        <c:axId val="4528322"/>
        <c:axId val="47271084"/>
        <c:axId val="70083916"/>
      </c:scatterChart>
      <c:valAx>
        <c:axId val="45283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Valor da Transação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271084"/>
        <c:crosses val="autoZero"/>
        <c:crossBetween val="midCat"/>
      </c:valAx>
      <c:valAx>
        <c:axId val="47271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Z-Score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28322"/>
        <c:crosses val="autoZero"/>
        <c:crossBetween val="midCat"/>
      </c:valAx>
      <c:valAx>
        <c:axId val="70083916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7271084"/>
        <c:crosses val="autoZero"/>
        <c:crossBetween val="midCat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span"/>
  </c:chart>
  <c:spPr>
    <a:solidFill>
      <a:srgbClr val="FFFFFF"/>
    </a:solidFill>
    <a:ln w="9360">
      <a:solidFill>
        <a:srgbClr val="000000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Orçado vs Realizado (Anual)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'🎛 Dashboard'!L10</c:f>
              <c:strCache>
                <c:ptCount val="1"/>
                <c:pt idx="0">
                  <c:v>Orçado</c:v>
                </c:pt>
              </c:strCache>
            </c:strRef>
          </c:tx>
          <c:spPr>
            <a:solidFill>
              <a:srgbClr val="818CF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'🎛 Dashboard'!$K$11:$K$18</c:f>
              <c:strCache>
                <c:ptCount val="8"/>
                <c:pt idx="0">
                  <c:v>Alimentação</c:v>
                </c:pt>
                <c:pt idx="1">
                  <c:v>Moradia</c:v>
                </c:pt>
                <c:pt idx="2">
                  <c:v>Transporte</c:v>
                </c:pt>
                <c:pt idx="3">
                  <c:v>Saúde</c:v>
                </c:pt>
                <c:pt idx="4">
                  <c:v>Lazer</c:v>
                </c:pt>
                <c:pt idx="5">
                  <c:v>Educação</c:v>
                </c:pt>
                <c:pt idx="6">
                  <c:v>Investimentos</c:v>
                </c:pt>
                <c:pt idx="7">
                  <c:v>Outros</c:v>
                </c:pt>
              </c:strCache>
            </c:strRef>
          </c:cat>
          <c:val>
            <c:numRef>
              <c:f>'🎛 Dashboard'!$L$11:$L$18</c:f>
              <c:numCache>
                <c:formatCode>"R$ "#,##0.00</c:formatCode>
                <c:ptCount val="8"/>
                <c:pt idx="0">
                  <c:v>10800</c:v>
                </c:pt>
                <c:pt idx="1">
                  <c:v>28200</c:v>
                </c:pt>
                <c:pt idx="2">
                  <c:v>4200</c:v>
                </c:pt>
                <c:pt idx="3">
                  <c:v>8640</c:v>
                </c:pt>
                <c:pt idx="4">
                  <c:v>3360</c:v>
                </c:pt>
                <c:pt idx="5">
                  <c:v>4800</c:v>
                </c:pt>
                <c:pt idx="6">
                  <c:v>30000</c:v>
                </c:pt>
                <c:pt idx="7">
                  <c:v>3600</c:v>
                </c:pt>
              </c:numCache>
            </c:numRef>
          </c:val>
        </c:ser>
        <c:ser>
          <c:idx val="1"/>
          <c:order val="1"/>
          <c:tx>
            <c:strRef>
              <c:f>'🎛 Dashboard'!M10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rgbClr val="0891B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'🎛 Dashboard'!$K$11:$K$18</c:f>
              <c:strCache>
                <c:ptCount val="8"/>
                <c:pt idx="0">
                  <c:v>Alimentação</c:v>
                </c:pt>
                <c:pt idx="1">
                  <c:v>Moradia</c:v>
                </c:pt>
                <c:pt idx="2">
                  <c:v>Transporte</c:v>
                </c:pt>
                <c:pt idx="3">
                  <c:v>Saúde</c:v>
                </c:pt>
                <c:pt idx="4">
                  <c:v>Lazer</c:v>
                </c:pt>
                <c:pt idx="5">
                  <c:v>Educação</c:v>
                </c:pt>
                <c:pt idx="6">
                  <c:v>Investimentos</c:v>
                </c:pt>
                <c:pt idx="7">
                  <c:v>Outros</c:v>
                </c:pt>
              </c:strCache>
            </c:strRef>
          </c:cat>
          <c:val>
            <c:numRef>
              <c:f>'🎛 Dashboard'!$M$11:$M$18</c:f>
              <c:numCache>
                <c:formatCode>"R$ "#,##0.00</c:formatCode>
                <c:ptCount val="8"/>
                <c:pt idx="0">
                  <c:v>10861.26</c:v>
                </c:pt>
                <c:pt idx="1">
                  <c:v>27946.74</c:v>
                </c:pt>
                <c:pt idx="2">
                  <c:v>4862.37</c:v>
                </c:pt>
                <c:pt idx="3">
                  <c:v>8396.21</c:v>
                </c:pt>
                <c:pt idx="4">
                  <c:v>3667.92</c:v>
                </c:pt>
                <c:pt idx="5">
                  <c:v>4072.44</c:v>
                </c:pt>
                <c:pt idx="6">
                  <c:v>26012.43</c:v>
                </c:pt>
                <c:pt idx="7">
                  <c:v>3067.25</c:v>
                </c:pt>
              </c:numCache>
            </c:numRef>
          </c:val>
        </c:ser>
        <c:gapWidth val="150"/>
        <c:overlap val="0"/>
        <c:axId val="93252512"/>
        <c:axId val="74372977"/>
      </c:barChart>
      <c:catAx>
        <c:axId val="932525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372977"/>
        <c:crosses val="autoZero"/>
        <c:auto val="1"/>
        <c:lblAlgn val="ctr"/>
        <c:lblOffset val="100"/>
        <c:noMultiLvlLbl val="0"/>
      </c:catAx>
      <c:valAx>
        <c:axId val="743729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2525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Distribuição de 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'🎛 Dashboard'!P10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'🎛 Dashboard'!$O$11:$O$18</c:f>
              <c:strCache>
                <c:ptCount val="8"/>
                <c:pt idx="0">
                  <c:v>Alimentação</c:v>
                </c:pt>
                <c:pt idx="1">
                  <c:v>Moradia</c:v>
                </c:pt>
                <c:pt idx="2">
                  <c:v>Transporte</c:v>
                </c:pt>
                <c:pt idx="3">
                  <c:v>Saúde</c:v>
                </c:pt>
                <c:pt idx="4">
                  <c:v>Lazer</c:v>
                </c:pt>
                <c:pt idx="5">
                  <c:v>Educação</c:v>
                </c:pt>
                <c:pt idx="6">
                  <c:v>Investimentos</c:v>
                </c:pt>
                <c:pt idx="7">
                  <c:v>Outros</c:v>
                </c:pt>
              </c:strCache>
            </c:strRef>
          </c:cat>
          <c:val>
            <c:numRef>
              <c:f>'🎛 Dashboard'!$P$11:$P$18</c:f>
              <c:numCache>
                <c:formatCode>"R$ "#,##0.00</c:formatCode>
                <c:ptCount val="8"/>
                <c:pt idx="0">
                  <c:v>10861.26</c:v>
                </c:pt>
                <c:pt idx="1">
                  <c:v>27946.74</c:v>
                </c:pt>
                <c:pt idx="2">
                  <c:v>4862.37</c:v>
                </c:pt>
                <c:pt idx="3">
                  <c:v>8396.21</c:v>
                </c:pt>
                <c:pt idx="4">
                  <c:v>3667.92</c:v>
                </c:pt>
                <c:pt idx="5">
                  <c:v>4072.44</c:v>
                </c:pt>
                <c:pt idx="6">
                  <c:v>26012.43</c:v>
                </c:pt>
                <c:pt idx="7">
                  <c:v>3067.25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Evolução do Score de Aproveitamento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'⚡ Aproveitamento'!B19</c:f>
              <c:strCache>
                <c:ptCount val="1"/>
                <c:pt idx="0">
                  <c:v>Score Médio</c:v>
                </c:pt>
              </c:strCache>
            </c:strRef>
          </c:tx>
          <c:spPr>
            <a:solidFill>
              <a:srgbClr val="4F46E5"/>
            </a:solidFill>
            <a:ln w="28080">
              <a:solidFill>
                <a:srgbClr val="4F46E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'⚡ Aproveitamento'!$A$20:$A$31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'⚡ Aproveitamento'!$B$20:$B$31</c:f>
              <c:numCache>
                <c:formatCode>0.0%</c:formatCode>
                <c:ptCount val="12"/>
                <c:pt idx="0">
                  <c:v>0.8015</c:v>
                </c:pt>
                <c:pt idx="1">
                  <c:v>0.6822</c:v>
                </c:pt>
                <c:pt idx="2">
                  <c:v>0.662</c:v>
                </c:pt>
                <c:pt idx="3">
                  <c:v>0.778</c:v>
                </c:pt>
                <c:pt idx="4">
                  <c:v>0.8555</c:v>
                </c:pt>
                <c:pt idx="5">
                  <c:v>0.7485</c:v>
                </c:pt>
                <c:pt idx="6">
                  <c:v>0.7141</c:v>
                </c:pt>
                <c:pt idx="7">
                  <c:v>0.7481</c:v>
                </c:pt>
                <c:pt idx="8">
                  <c:v>0.8148</c:v>
                </c:pt>
                <c:pt idx="9">
                  <c:v>0.7867</c:v>
                </c:pt>
                <c:pt idx="10">
                  <c:v>0.7878</c:v>
                </c:pt>
                <c:pt idx="11">
                  <c:v>0.7988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979127"/>
        <c:axId val="24202909"/>
      </c:lineChart>
      <c:catAx>
        <c:axId val="269791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202909"/>
        <c:crosses val="autoZero"/>
        <c:auto val="1"/>
        <c:lblAlgn val="ctr"/>
        <c:lblOffset val="100"/>
        <c:noMultiLvlLbl val="0"/>
      </c:catAx>
      <c:valAx>
        <c:axId val="24202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9791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Projeção 24 Meses: Renda vs Despesas (com IC 95%)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'🔮 Projeção'!C11</c:f>
              <c:strCache>
                <c:ptCount val="1"/>
                <c:pt idx="0">
                  <c:v>Renda Proj.(R$)</c:v>
                </c:pt>
              </c:strCache>
            </c:strRef>
          </c:tx>
          <c:spPr>
            <a:solidFill>
              <a:srgbClr val="059669"/>
            </a:solidFill>
            <a:ln w="24840">
              <a:solidFill>
                <a:srgbClr val="05966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'🔮 Projeção'!$C$12:$C$35</c:f>
              <c:numCache>
                <c:formatCode>"R$ "#,##0.00</c:formatCode>
                <c:ptCount val="24"/>
                <c:pt idx="0">
                  <c:v>9556.71</c:v>
                </c:pt>
                <c:pt idx="1">
                  <c:v>9595.64</c:v>
                </c:pt>
                <c:pt idx="2">
                  <c:v>9634.74</c:v>
                </c:pt>
                <c:pt idx="3">
                  <c:v>9673.99</c:v>
                </c:pt>
                <c:pt idx="4">
                  <c:v>9713.4</c:v>
                </c:pt>
                <c:pt idx="5">
                  <c:v>9752.98</c:v>
                </c:pt>
                <c:pt idx="6">
                  <c:v>9792.71</c:v>
                </c:pt>
                <c:pt idx="7">
                  <c:v>9832.61</c:v>
                </c:pt>
                <c:pt idx="8">
                  <c:v>9872.67</c:v>
                </c:pt>
                <c:pt idx="9">
                  <c:v>9912.89</c:v>
                </c:pt>
                <c:pt idx="10">
                  <c:v>9953.28</c:v>
                </c:pt>
                <c:pt idx="11">
                  <c:v>9993.83</c:v>
                </c:pt>
                <c:pt idx="12">
                  <c:v>10034.54</c:v>
                </c:pt>
                <c:pt idx="13">
                  <c:v>10075.42</c:v>
                </c:pt>
                <c:pt idx="14">
                  <c:v>10116.47</c:v>
                </c:pt>
                <c:pt idx="15">
                  <c:v>10157.69</c:v>
                </c:pt>
                <c:pt idx="16">
                  <c:v>10199.07</c:v>
                </c:pt>
                <c:pt idx="17">
                  <c:v>10240.62</c:v>
                </c:pt>
                <c:pt idx="18">
                  <c:v>10282.35</c:v>
                </c:pt>
                <c:pt idx="19">
                  <c:v>10324.24</c:v>
                </c:pt>
                <c:pt idx="20">
                  <c:v>10366.3</c:v>
                </c:pt>
                <c:pt idx="21">
                  <c:v>10408.53</c:v>
                </c:pt>
                <c:pt idx="22">
                  <c:v>10450.94</c:v>
                </c:pt>
                <c:pt idx="23">
                  <c:v>10493.52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'🔮 Projeção'!E11</c:f>
              <c:strCache>
                <c:ptCount val="1"/>
                <c:pt idx="0">
                  <c:v>Saída c/Infl.(R$)</c:v>
                </c:pt>
              </c:strCache>
            </c:strRef>
          </c:tx>
          <c:spPr>
            <a:solidFill>
              <a:srgbClr val="DC2626"/>
            </a:solidFill>
            <a:ln w="24840">
              <a:solidFill>
                <a:srgbClr val="DC262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'🔮 Projeção'!$E$12:$E$35</c:f>
              <c:numCache>
                <c:formatCode>"R$ "#,##0.00</c:formatCode>
                <c:ptCount val="24"/>
                <c:pt idx="0">
                  <c:v>7444.25</c:v>
                </c:pt>
                <c:pt idx="1">
                  <c:v>7481.48</c:v>
                </c:pt>
                <c:pt idx="2">
                  <c:v>7518.88</c:v>
                </c:pt>
                <c:pt idx="3">
                  <c:v>7556.48</c:v>
                </c:pt>
                <c:pt idx="4">
                  <c:v>7594.26</c:v>
                </c:pt>
                <c:pt idx="5">
                  <c:v>7632.23</c:v>
                </c:pt>
                <c:pt idx="6">
                  <c:v>7670.39</c:v>
                </c:pt>
                <c:pt idx="7">
                  <c:v>7708.74</c:v>
                </c:pt>
                <c:pt idx="8">
                  <c:v>7747.29</c:v>
                </c:pt>
                <c:pt idx="9">
                  <c:v>7786.02</c:v>
                </c:pt>
                <c:pt idx="10">
                  <c:v>7824.95</c:v>
                </c:pt>
                <c:pt idx="11">
                  <c:v>7864.08</c:v>
                </c:pt>
                <c:pt idx="12">
                  <c:v>7903.4</c:v>
                </c:pt>
                <c:pt idx="13">
                  <c:v>7942.92</c:v>
                </c:pt>
                <c:pt idx="14">
                  <c:v>7982.63</c:v>
                </c:pt>
                <c:pt idx="15">
                  <c:v>8022.54</c:v>
                </c:pt>
                <c:pt idx="16">
                  <c:v>8062.66</c:v>
                </c:pt>
                <c:pt idx="17">
                  <c:v>8102.97</c:v>
                </c:pt>
                <c:pt idx="18">
                  <c:v>8143.49</c:v>
                </c:pt>
                <c:pt idx="19">
                  <c:v>8184.2</c:v>
                </c:pt>
                <c:pt idx="20">
                  <c:v>8225.12</c:v>
                </c:pt>
                <c:pt idx="21">
                  <c:v>8266.25</c:v>
                </c:pt>
                <c:pt idx="22">
                  <c:v>8307.58</c:v>
                </c:pt>
                <c:pt idx="23">
                  <c:v>8349.12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'🔮 Projeção'!H11</c:f>
              <c:strCache>
                <c:ptCount val="1"/>
                <c:pt idx="0">
                  <c:v>IC 95% Inf.</c:v>
                </c:pt>
              </c:strCache>
            </c:strRef>
          </c:tx>
          <c:spPr>
            <a:solidFill>
              <a:srgbClr val="CCCCCC"/>
            </a:solidFill>
            <a:ln w="11880">
              <a:solidFill>
                <a:srgbClr val="CCCCC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18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'🔮 Projeção'!$H$12:$H$35</c:f>
              <c:numCache>
                <c:formatCode>"R$ "#,##0.00</c:formatCode>
                <c:ptCount val="24"/>
                <c:pt idx="0">
                  <c:v>5920.22</c:v>
                </c:pt>
                <c:pt idx="1">
                  <c:v>5957.45</c:v>
                </c:pt>
                <c:pt idx="2">
                  <c:v>5994.85</c:v>
                </c:pt>
                <c:pt idx="3">
                  <c:v>6032.45</c:v>
                </c:pt>
                <c:pt idx="4">
                  <c:v>6070.23</c:v>
                </c:pt>
                <c:pt idx="5">
                  <c:v>6108.2</c:v>
                </c:pt>
                <c:pt idx="6">
                  <c:v>6146.36</c:v>
                </c:pt>
                <c:pt idx="7">
                  <c:v>6184.71</c:v>
                </c:pt>
                <c:pt idx="8">
                  <c:v>6223.26</c:v>
                </c:pt>
                <c:pt idx="9">
                  <c:v>6261.99</c:v>
                </c:pt>
                <c:pt idx="10">
                  <c:v>6300.92</c:v>
                </c:pt>
                <c:pt idx="11">
                  <c:v>6340.05</c:v>
                </c:pt>
                <c:pt idx="12">
                  <c:v>6379.37</c:v>
                </c:pt>
                <c:pt idx="13">
                  <c:v>6418.89</c:v>
                </c:pt>
                <c:pt idx="14">
                  <c:v>6458.6</c:v>
                </c:pt>
                <c:pt idx="15">
                  <c:v>6498.51</c:v>
                </c:pt>
                <c:pt idx="16">
                  <c:v>6538.63</c:v>
                </c:pt>
                <c:pt idx="17">
                  <c:v>6578.94</c:v>
                </c:pt>
                <c:pt idx="18">
                  <c:v>6619.46</c:v>
                </c:pt>
                <c:pt idx="19">
                  <c:v>6660.17</c:v>
                </c:pt>
                <c:pt idx="20">
                  <c:v>6701.09</c:v>
                </c:pt>
                <c:pt idx="21">
                  <c:v>6742.22</c:v>
                </c:pt>
                <c:pt idx="22">
                  <c:v>6783.55</c:v>
                </c:pt>
                <c:pt idx="23">
                  <c:v>6825.09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'🔮 Projeção'!I11</c:f>
              <c:strCache>
                <c:ptCount val="1"/>
                <c:pt idx="0">
                  <c:v>IC 95% Sup.</c:v>
                </c:pt>
              </c:strCache>
            </c:strRef>
          </c:tx>
          <c:spPr>
            <a:solidFill>
              <a:srgbClr val="CCCCCC"/>
            </a:solidFill>
            <a:ln w="11880">
              <a:solidFill>
                <a:srgbClr val="CCCCC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18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'🔮 Projeção'!$I$12:$I$35</c:f>
              <c:numCache>
                <c:formatCode>"R$ "#,##0.00</c:formatCode>
                <c:ptCount val="24"/>
                <c:pt idx="0">
                  <c:v>8968.28</c:v>
                </c:pt>
                <c:pt idx="1">
                  <c:v>9005.51</c:v>
                </c:pt>
                <c:pt idx="2">
                  <c:v>9042.91</c:v>
                </c:pt>
                <c:pt idx="3">
                  <c:v>9080.51</c:v>
                </c:pt>
                <c:pt idx="4">
                  <c:v>9118.29</c:v>
                </c:pt>
                <c:pt idx="5">
                  <c:v>9156.26</c:v>
                </c:pt>
                <c:pt idx="6">
                  <c:v>9194.42</c:v>
                </c:pt>
                <c:pt idx="7">
                  <c:v>9232.77</c:v>
                </c:pt>
                <c:pt idx="8">
                  <c:v>9271.32</c:v>
                </c:pt>
                <c:pt idx="9">
                  <c:v>9310.05</c:v>
                </c:pt>
                <c:pt idx="10">
                  <c:v>9348.98</c:v>
                </c:pt>
                <c:pt idx="11">
                  <c:v>9388.11</c:v>
                </c:pt>
                <c:pt idx="12">
                  <c:v>9427.43</c:v>
                </c:pt>
                <c:pt idx="13">
                  <c:v>9466.95</c:v>
                </c:pt>
                <c:pt idx="14">
                  <c:v>9506.66</c:v>
                </c:pt>
                <c:pt idx="15">
                  <c:v>9546.57</c:v>
                </c:pt>
                <c:pt idx="16">
                  <c:v>9586.69</c:v>
                </c:pt>
                <c:pt idx="17">
                  <c:v>9627</c:v>
                </c:pt>
                <c:pt idx="18">
                  <c:v>9667.52</c:v>
                </c:pt>
                <c:pt idx="19">
                  <c:v>9708.23</c:v>
                </c:pt>
                <c:pt idx="20">
                  <c:v>9749.15</c:v>
                </c:pt>
                <c:pt idx="21">
                  <c:v>9790.28</c:v>
                </c:pt>
                <c:pt idx="22">
                  <c:v>9831.61</c:v>
                </c:pt>
                <c:pt idx="23">
                  <c:v>9873.15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'🔮 Projeção'!F11</c:f>
              <c:strCache>
                <c:ptCount val="1"/>
                <c:pt idx="0">
                  <c:v>Saldo Proj.(R$)</c:v>
                </c:pt>
              </c:strCache>
            </c:strRef>
          </c:tx>
          <c:spPr>
            <a:solidFill>
              <a:srgbClr val="D97706"/>
            </a:solidFill>
            <a:ln w="20160">
              <a:solidFill>
                <a:srgbClr val="D9770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'🔮 Projeção'!$F$12:$F$35</c:f>
              <c:numCache>
                <c:formatCode>"R$ "#,##0.00;"(R$ "#,##0.00\);\-</c:formatCode>
                <c:ptCount val="24"/>
                <c:pt idx="0">
                  <c:v>2112.46</c:v>
                </c:pt>
                <c:pt idx="1">
                  <c:v>2114.16</c:v>
                </c:pt>
                <c:pt idx="2">
                  <c:v>2115.86</c:v>
                </c:pt>
                <c:pt idx="3">
                  <c:v>2117.51</c:v>
                </c:pt>
                <c:pt idx="4">
                  <c:v>2119.14</c:v>
                </c:pt>
                <c:pt idx="5">
                  <c:v>2120.75</c:v>
                </c:pt>
                <c:pt idx="6">
                  <c:v>2122.32</c:v>
                </c:pt>
                <c:pt idx="7">
                  <c:v>2123.87</c:v>
                </c:pt>
                <c:pt idx="8">
                  <c:v>2125.38</c:v>
                </c:pt>
                <c:pt idx="9">
                  <c:v>2126.87</c:v>
                </c:pt>
                <c:pt idx="10">
                  <c:v>2128.33</c:v>
                </c:pt>
                <c:pt idx="11">
                  <c:v>2129.75</c:v>
                </c:pt>
                <c:pt idx="12">
                  <c:v>2131.14</c:v>
                </c:pt>
                <c:pt idx="13">
                  <c:v>2132.5</c:v>
                </c:pt>
                <c:pt idx="14">
                  <c:v>2133.84</c:v>
                </c:pt>
                <c:pt idx="15">
                  <c:v>2135.15</c:v>
                </c:pt>
                <c:pt idx="16">
                  <c:v>2136.41</c:v>
                </c:pt>
                <c:pt idx="17">
                  <c:v>2137.65</c:v>
                </c:pt>
                <c:pt idx="18">
                  <c:v>2138.86</c:v>
                </c:pt>
                <c:pt idx="19">
                  <c:v>2140.04</c:v>
                </c:pt>
                <c:pt idx="20">
                  <c:v>2141.18</c:v>
                </c:pt>
                <c:pt idx="21">
                  <c:v>2142.28</c:v>
                </c:pt>
                <c:pt idx="22">
                  <c:v>2143.36</c:v>
                </c:pt>
                <c:pt idx="23">
                  <c:v>2144.4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849562"/>
        <c:axId val="56557660"/>
      </c:lineChart>
      <c:catAx>
        <c:axId val="698495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Mês Projetado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557660"/>
        <c:crosses val="autoZero"/>
        <c:auto val="1"/>
        <c:lblAlgn val="ctr"/>
        <c:lblOffset val="100"/>
        <c:noMultiLvlLbl val="0"/>
      </c:catAx>
      <c:valAx>
        <c:axId val="565576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8495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3</xdr:row>
      <xdr:rowOff>0</xdr:rowOff>
    </xdr:from>
    <xdr:to>
      <xdr:col>29</xdr:col>
      <xdr:colOff>295200</xdr:colOff>
      <xdr:row>24</xdr:row>
      <xdr:rowOff>263160</xdr:rowOff>
    </xdr:to>
    <xdr:graphicFrame>
      <xdr:nvGraphicFramePr>
        <xdr:cNvPr id="1" name="Chart 1"/>
        <xdr:cNvGraphicFramePr/>
      </xdr:nvGraphicFramePr>
      <xdr:xfrm>
        <a:off x="12081600" y="819000"/>
        <a:ext cx="10079280" cy="57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10080</xdr:colOff>
      <xdr:row>24</xdr:row>
      <xdr:rowOff>276120</xdr:rowOff>
    </xdr:from>
    <xdr:to>
      <xdr:col>29</xdr:col>
      <xdr:colOff>305280</xdr:colOff>
      <xdr:row>47</xdr:row>
      <xdr:rowOff>101520</xdr:rowOff>
    </xdr:to>
    <xdr:graphicFrame>
      <xdr:nvGraphicFramePr>
        <xdr:cNvPr id="2" name="Chart 2"/>
        <xdr:cNvGraphicFramePr/>
      </xdr:nvGraphicFramePr>
      <xdr:xfrm>
        <a:off x="12091680" y="6591240"/>
        <a:ext cx="10079280" cy="57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49320</xdr:colOff>
      <xdr:row>2</xdr:row>
      <xdr:rowOff>360</xdr:rowOff>
    </xdr:from>
    <xdr:to>
      <xdr:col>30</xdr:col>
      <xdr:colOff>561600</xdr:colOff>
      <xdr:row>25</xdr:row>
      <xdr:rowOff>88560</xdr:rowOff>
    </xdr:to>
    <xdr:graphicFrame>
      <xdr:nvGraphicFramePr>
        <xdr:cNvPr id="3" name="Chart 1"/>
        <xdr:cNvGraphicFramePr/>
      </xdr:nvGraphicFramePr>
      <xdr:xfrm>
        <a:off x="14641560" y="724320"/>
        <a:ext cx="11519280" cy="64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28080</xdr:rowOff>
    </xdr:from>
    <xdr:to>
      <xdr:col>8</xdr:col>
      <xdr:colOff>568800</xdr:colOff>
      <xdr:row>56</xdr:row>
      <xdr:rowOff>186480</xdr:rowOff>
    </xdr:to>
    <xdr:graphicFrame>
      <xdr:nvGraphicFramePr>
        <xdr:cNvPr id="4" name="Chart 1"/>
        <xdr:cNvGraphicFramePr/>
      </xdr:nvGraphicFramePr>
      <xdr:xfrm>
        <a:off x="0" y="6666840"/>
        <a:ext cx="9359280" cy="57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9</xdr:col>
      <xdr:colOff>55080</xdr:colOff>
      <xdr:row>50</xdr:row>
      <xdr:rowOff>44280</xdr:rowOff>
    </xdr:to>
    <xdr:graphicFrame>
      <xdr:nvGraphicFramePr>
        <xdr:cNvPr id="5" name="Chart 1"/>
        <xdr:cNvGraphicFramePr/>
      </xdr:nvGraphicFramePr>
      <xdr:xfrm>
        <a:off x="0" y="5372280"/>
        <a:ext cx="9359280" cy="57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20</xdr:row>
      <xdr:rowOff>0</xdr:rowOff>
    </xdr:from>
    <xdr:to>
      <xdr:col>23</xdr:col>
      <xdr:colOff>504720</xdr:colOff>
      <xdr:row>50</xdr:row>
      <xdr:rowOff>44280</xdr:rowOff>
    </xdr:to>
    <xdr:graphicFrame>
      <xdr:nvGraphicFramePr>
        <xdr:cNvPr id="6" name="Chart 2"/>
        <xdr:cNvGraphicFramePr/>
      </xdr:nvGraphicFramePr>
      <xdr:xfrm>
        <a:off x="12170880" y="5372280"/>
        <a:ext cx="8639280" cy="57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17</xdr:row>
      <xdr:rowOff>0</xdr:rowOff>
    </xdr:from>
    <xdr:to>
      <xdr:col>19</xdr:col>
      <xdr:colOff>68400</xdr:colOff>
      <xdr:row>44</xdr:row>
      <xdr:rowOff>158760</xdr:rowOff>
    </xdr:to>
    <xdr:graphicFrame>
      <xdr:nvGraphicFramePr>
        <xdr:cNvPr id="7" name="Chart 1"/>
        <xdr:cNvGraphicFramePr/>
      </xdr:nvGraphicFramePr>
      <xdr:xfrm>
        <a:off x="3312720" y="5229360"/>
        <a:ext cx="10079280" cy="57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</xdr:row>
      <xdr:rowOff>0</xdr:rowOff>
    </xdr:from>
    <xdr:to>
      <xdr:col>32</xdr:col>
      <xdr:colOff>9360</xdr:colOff>
      <xdr:row>27</xdr:row>
      <xdr:rowOff>192600</xdr:rowOff>
    </xdr:to>
    <xdr:graphicFrame>
      <xdr:nvGraphicFramePr>
        <xdr:cNvPr id="8" name="Chart 1"/>
        <xdr:cNvGraphicFramePr/>
      </xdr:nvGraphicFramePr>
      <xdr:xfrm>
        <a:off x="11748240" y="819000"/>
        <a:ext cx="12239280" cy="64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3"/>
    <col collapsed="false" customWidth="true" hidden="false" outlineLevel="0" max="13" min="11" style="1" width="10"/>
    <col collapsed="false" customWidth="true" hidden="false" outlineLevel="0" max="14" min="14" style="1" width="12"/>
    <col collapsed="false" customWidth="true" hidden="false" outlineLevel="0" max="15" min="15" style="1" width="6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7.5" hidden="false" customHeight="true" outlineLevel="0" collapsed="false"/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6" hidden="false" customHeight="true" outlineLevel="0" collapsed="false"/>
    <row r="6" customFormat="false" ht="31.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customFormat="false" ht="18.75" hidden="false" customHeight="true" outlineLevel="0" collapsed="false">
      <c r="A7" s="6" t="s">
        <v>18</v>
      </c>
      <c r="B7" s="7" t="s">
        <v>19</v>
      </c>
      <c r="C7" s="8" t="s">
        <v>20</v>
      </c>
      <c r="D7" s="8" t="s">
        <v>21</v>
      </c>
      <c r="E7" s="9" t="s">
        <v>22</v>
      </c>
      <c r="F7" s="10" t="n">
        <v>111.33</v>
      </c>
      <c r="G7" s="11" t="n">
        <v>116.67</v>
      </c>
      <c r="H7" s="8" t="s">
        <v>23</v>
      </c>
      <c r="I7" s="8" t="s">
        <v>24</v>
      </c>
      <c r="J7" s="12" t="n">
        <f aca="false">IF(E7="ENTRADA",F7-G7,G7-F7)</f>
        <v>5.34</v>
      </c>
      <c r="K7" s="13" t="n">
        <f aca="false">IFERROR(IF(G7=0,0,J7/G7),0)</f>
        <v>0.0457701208536899</v>
      </c>
      <c r="L7" s="14" t="n">
        <v>-0.494</v>
      </c>
      <c r="M7" s="15" t="s">
        <v>25</v>
      </c>
      <c r="N7" s="13" t="n">
        <f aca="false">IFERROR(IF(E7="ENTRADA",IF(G7=0,1,MIN(F7/G7,2)),IF(G7=0,1,MAX(1-ABS(J7)/G7,0))),0)</f>
        <v>0.95422987914631</v>
      </c>
      <c r="O7" s="16" t="n">
        <v>13</v>
      </c>
    </row>
    <row r="8" customFormat="false" ht="18.75" hidden="false" customHeight="true" outlineLevel="0" collapsed="false">
      <c r="A8" s="17" t="s">
        <v>18</v>
      </c>
      <c r="B8" s="18" t="s">
        <v>26</v>
      </c>
      <c r="C8" s="19" t="s">
        <v>27</v>
      </c>
      <c r="D8" s="19" t="s">
        <v>28</v>
      </c>
      <c r="E8" s="20" t="s">
        <v>22</v>
      </c>
      <c r="F8" s="21" t="n">
        <v>72.48</v>
      </c>
      <c r="G8" s="11" t="n">
        <v>144</v>
      </c>
      <c r="H8" s="19" t="s">
        <v>29</v>
      </c>
      <c r="I8" s="19" t="s">
        <v>24</v>
      </c>
      <c r="J8" s="22" t="n">
        <f aca="false">IF(E8="ENTRADA",F8-G8,G8-F8)</f>
        <v>71.52</v>
      </c>
      <c r="K8" s="23" t="n">
        <f aca="false">IFERROR(IF(G8=0,0,J8/G8),0)</f>
        <v>0.496666666666667</v>
      </c>
      <c r="L8" s="24" t="n">
        <v>-0.589</v>
      </c>
      <c r="M8" s="25" t="s">
        <v>25</v>
      </c>
      <c r="N8" s="23" t="n">
        <f aca="false">IFERROR(IF(E8="ENTRADA",IF(G8=0,1,MIN(F8/G8,2)),IF(G8=0,1,MAX(1-ABS(J8)/G8,0))),0)</f>
        <v>0.503333333333333</v>
      </c>
      <c r="O8" s="26" t="n">
        <v>15</v>
      </c>
    </row>
    <row r="9" customFormat="false" ht="18.75" hidden="false" customHeight="true" outlineLevel="0" collapsed="false">
      <c r="A9" s="6" t="s">
        <v>18</v>
      </c>
      <c r="B9" s="7" t="s">
        <v>30</v>
      </c>
      <c r="C9" s="8" t="s">
        <v>31</v>
      </c>
      <c r="D9" s="8" t="s">
        <v>32</v>
      </c>
      <c r="E9" s="9" t="s">
        <v>22</v>
      </c>
      <c r="F9" s="10" t="n">
        <v>109.1</v>
      </c>
      <c r="G9" s="11" t="n">
        <v>93.33</v>
      </c>
      <c r="H9" s="8" t="s">
        <v>33</v>
      </c>
      <c r="I9" s="8" t="s">
        <v>34</v>
      </c>
      <c r="J9" s="12" t="n">
        <f aca="false">IF(E9="ENTRADA",F9-G9,G9-F9)</f>
        <v>-15.77</v>
      </c>
      <c r="K9" s="13" t="n">
        <f aca="false">IFERROR(IF(G9=0,0,J9/G9),0)</f>
        <v>-0.168970320368585</v>
      </c>
      <c r="L9" s="14" t="n">
        <v>-0.499</v>
      </c>
      <c r="M9" s="15" t="s">
        <v>25</v>
      </c>
      <c r="N9" s="13" t="n">
        <f aca="false">IFERROR(IF(E9="ENTRADA",IF(G9=0,1,MIN(F9/G9,2)),IF(G9=0,1,MAX(1-ABS(J9)/G9,0))),0)</f>
        <v>0.831029679631415</v>
      </c>
      <c r="O9" s="16" t="n">
        <v>21</v>
      </c>
    </row>
    <row r="10" customFormat="false" ht="18.75" hidden="false" customHeight="true" outlineLevel="0" collapsed="false">
      <c r="A10" s="17" t="s">
        <v>18</v>
      </c>
      <c r="B10" s="18" t="s">
        <v>35</v>
      </c>
      <c r="C10" s="19" t="s">
        <v>36</v>
      </c>
      <c r="D10" s="19" t="s">
        <v>37</v>
      </c>
      <c r="E10" s="20" t="s">
        <v>22</v>
      </c>
      <c r="F10" s="21" t="n">
        <v>57.56</v>
      </c>
      <c r="G10" s="11" t="n">
        <v>100</v>
      </c>
      <c r="H10" s="19" t="s">
        <v>38</v>
      </c>
      <c r="I10" s="19" t="s">
        <v>34</v>
      </c>
      <c r="J10" s="22" t="n">
        <f aca="false">IF(E10="ENTRADA",F10-G10,G10-F10)</f>
        <v>42.44</v>
      </c>
      <c r="K10" s="23" t="n">
        <f aca="false">IFERROR(IF(G10=0,0,J10/G10),0)</f>
        <v>0.4244</v>
      </c>
      <c r="L10" s="24" t="n">
        <v>-0.625</v>
      </c>
      <c r="M10" s="25" t="s">
        <v>25</v>
      </c>
      <c r="N10" s="23" t="n">
        <f aca="false">IFERROR(IF(E10="ENTRADA",IF(G10=0,1,MIN(F10/G10,2)),IF(G10=0,1,MAX(1-ABS(J10)/G10,0))),0)</f>
        <v>0.5756</v>
      </c>
      <c r="O10" s="26" t="n">
        <v>25</v>
      </c>
    </row>
    <row r="11" customFormat="false" ht="18.75" hidden="false" customHeight="true" outlineLevel="0" collapsed="false">
      <c r="A11" s="6" t="s">
        <v>39</v>
      </c>
      <c r="B11" s="7" t="s">
        <v>40</v>
      </c>
      <c r="C11" s="8" t="s">
        <v>41</v>
      </c>
      <c r="D11" s="8" t="s">
        <v>42</v>
      </c>
      <c r="E11" s="9" t="s">
        <v>22</v>
      </c>
      <c r="F11" s="10" t="n">
        <v>419.19</v>
      </c>
      <c r="G11" s="11" t="n">
        <v>470</v>
      </c>
      <c r="H11" s="8" t="s">
        <v>43</v>
      </c>
      <c r="I11" s="8" t="s">
        <v>34</v>
      </c>
      <c r="J11" s="12" t="n">
        <f aca="false">IF(E11="ENTRADA",F11-G11,G11-F11)</f>
        <v>50.81</v>
      </c>
      <c r="K11" s="13" t="n">
        <f aca="false">IFERROR(IF(G11=0,0,J11/G11),0)</f>
        <v>0.108106382978723</v>
      </c>
      <c r="L11" s="14" t="n">
        <v>0.26</v>
      </c>
      <c r="M11" s="15" t="s">
        <v>25</v>
      </c>
      <c r="N11" s="13" t="n">
        <f aca="false">IFERROR(IF(E11="ENTRADA",IF(G11=0,1,MIN(F11/G11,2)),IF(G11=0,1,MAX(1-ABS(J11)/G11,0))),0)</f>
        <v>0.891893617021277</v>
      </c>
      <c r="O11" s="16" t="n">
        <v>10</v>
      </c>
    </row>
    <row r="12" customFormat="false" ht="18.75" hidden="false" customHeight="true" outlineLevel="0" collapsed="false">
      <c r="A12" s="17" t="s">
        <v>44</v>
      </c>
      <c r="B12" s="18" t="s">
        <v>45</v>
      </c>
      <c r="C12" s="19" t="s">
        <v>46</v>
      </c>
      <c r="D12" s="19" t="s">
        <v>47</v>
      </c>
      <c r="E12" s="27" t="s">
        <v>48</v>
      </c>
      <c r="F12" s="21" t="n">
        <v>8649.01</v>
      </c>
      <c r="G12" s="11" t="n">
        <v>8500</v>
      </c>
      <c r="H12" s="19" t="s">
        <v>29</v>
      </c>
      <c r="I12" s="19" t="s">
        <v>34</v>
      </c>
      <c r="J12" s="22" t="n">
        <f aca="false">IF(E12="ENTRADA",F12-G12,G12-F12)</f>
        <v>149.01</v>
      </c>
      <c r="K12" s="23" t="n">
        <f aca="false">IFERROR(IF(G12=0,0,J12/G12),0)</f>
        <v>0.0175305882352941</v>
      </c>
      <c r="L12" s="24" t="n">
        <v>0</v>
      </c>
      <c r="M12" s="26" t="s">
        <v>49</v>
      </c>
      <c r="N12" s="23" t="n">
        <f aca="false">IFERROR(IF(E12="ENTRADA",IF(G12=0,1,MIN(F12/G12,2)),IF(G12=0,1,MAX(1-ABS(J12)/G12,0))),0)</f>
        <v>1.01753058823529</v>
      </c>
      <c r="O12" s="26" t="n">
        <v>1</v>
      </c>
    </row>
    <row r="13" customFormat="false" ht="18.75" hidden="false" customHeight="true" outlineLevel="0" collapsed="false">
      <c r="A13" s="6" t="s">
        <v>50</v>
      </c>
      <c r="B13" s="7" t="s">
        <v>51</v>
      </c>
      <c r="C13" s="8" t="s">
        <v>52</v>
      </c>
      <c r="D13" s="8" t="s">
        <v>53</v>
      </c>
      <c r="E13" s="9" t="s">
        <v>22</v>
      </c>
      <c r="F13" s="10" t="n">
        <v>278.22</v>
      </c>
      <c r="G13" s="11" t="n">
        <v>300</v>
      </c>
      <c r="H13" s="8" t="s">
        <v>23</v>
      </c>
      <c r="I13" s="8" t="s">
        <v>34</v>
      </c>
      <c r="J13" s="12" t="n">
        <f aca="false">IF(E13="ENTRADA",F13-G13,G13-F13)</f>
        <v>21.78</v>
      </c>
      <c r="K13" s="13" t="n">
        <f aca="false">IFERROR(IF(G13=0,0,J13/G13),0)</f>
        <v>0.0725999999999999</v>
      </c>
      <c r="L13" s="14" t="n">
        <v>-0.085</v>
      </c>
      <c r="M13" s="15" t="s">
        <v>25</v>
      </c>
      <c r="N13" s="13" t="n">
        <f aca="false">IFERROR(IF(E13="ENTRADA",IF(G13=0,1,MIN(F13/G13,2)),IF(G13=0,1,MAX(1-ABS(J13)/G13,0))),0)</f>
        <v>0.9274</v>
      </c>
      <c r="O13" s="16" t="n">
        <v>5</v>
      </c>
    </row>
    <row r="14" customFormat="false" ht="18.75" hidden="false" customHeight="true" outlineLevel="0" collapsed="false">
      <c r="A14" s="17" t="s">
        <v>50</v>
      </c>
      <c r="B14" s="18" t="s">
        <v>54</v>
      </c>
      <c r="C14" s="19" t="s">
        <v>41</v>
      </c>
      <c r="D14" s="19" t="s">
        <v>42</v>
      </c>
      <c r="E14" s="20" t="s">
        <v>22</v>
      </c>
      <c r="F14" s="21" t="n">
        <v>599.45</v>
      </c>
      <c r="G14" s="11" t="n">
        <v>470</v>
      </c>
      <c r="H14" s="19" t="s">
        <v>38</v>
      </c>
      <c r="I14" s="19" t="s">
        <v>34</v>
      </c>
      <c r="J14" s="22" t="n">
        <f aca="false">IF(E14="ENTRADA",F14-G14,G14-F14)</f>
        <v>-129.45</v>
      </c>
      <c r="K14" s="23" t="n">
        <f aca="false">IFERROR(IF(G14=0,0,J14/G14),0)</f>
        <v>-0.275425531914894</v>
      </c>
      <c r="L14" s="24" t="n">
        <v>0.701</v>
      </c>
      <c r="M14" s="25" t="s">
        <v>25</v>
      </c>
      <c r="N14" s="23" t="n">
        <f aca="false">IFERROR(IF(E14="ENTRADA",IF(G14=0,1,MIN(F14/G14,2)),IF(G14=0,1,MAX(1-ABS(J14)/G14,0))),0)</f>
        <v>0.724574468085106</v>
      </c>
      <c r="O14" s="26" t="n">
        <v>6</v>
      </c>
    </row>
    <row r="15" customFormat="false" ht="18.75" hidden="false" customHeight="true" outlineLevel="0" collapsed="false">
      <c r="A15" s="6" t="s">
        <v>50</v>
      </c>
      <c r="B15" s="7" t="s">
        <v>55</v>
      </c>
      <c r="C15" s="8" t="s">
        <v>27</v>
      </c>
      <c r="D15" s="8" t="s">
        <v>28</v>
      </c>
      <c r="E15" s="9" t="s">
        <v>22</v>
      </c>
      <c r="F15" s="10" t="n">
        <v>109.01</v>
      </c>
      <c r="G15" s="11" t="n">
        <v>144</v>
      </c>
      <c r="H15" s="8" t="s">
        <v>38</v>
      </c>
      <c r="I15" s="8" t="s">
        <v>24</v>
      </c>
      <c r="J15" s="12" t="n">
        <f aca="false">IF(E15="ENTRADA",F15-G15,G15-F15)</f>
        <v>34.99</v>
      </c>
      <c r="K15" s="13" t="n">
        <f aca="false">IFERROR(IF(G15=0,0,J15/G15),0)</f>
        <v>0.242986111111111</v>
      </c>
      <c r="L15" s="14" t="n">
        <v>-0.499</v>
      </c>
      <c r="M15" s="15" t="s">
        <v>25</v>
      </c>
      <c r="N15" s="13" t="n">
        <f aca="false">IFERROR(IF(E15="ENTRADA",IF(G15=0,1,MIN(F15/G15,2)),IF(G15=0,1,MAX(1-ABS(J15)/G15,0))),0)</f>
        <v>0.757013888888889</v>
      </c>
      <c r="O15" s="16" t="n">
        <v>14</v>
      </c>
    </row>
    <row r="16" customFormat="false" ht="18.75" hidden="false" customHeight="true" outlineLevel="0" collapsed="false">
      <c r="A16" s="17" t="s">
        <v>50</v>
      </c>
      <c r="B16" s="18" t="s">
        <v>56</v>
      </c>
      <c r="C16" s="19" t="s">
        <v>27</v>
      </c>
      <c r="D16" s="19" t="s">
        <v>28</v>
      </c>
      <c r="E16" s="20" t="s">
        <v>22</v>
      </c>
      <c r="F16" s="21" t="n">
        <v>143.42</v>
      </c>
      <c r="G16" s="11" t="n">
        <v>144</v>
      </c>
      <c r="H16" s="19" t="s">
        <v>23</v>
      </c>
      <c r="I16" s="19" t="s">
        <v>34</v>
      </c>
      <c r="J16" s="22" t="n">
        <f aca="false">IF(E16="ENTRADA",F16-G16,G16-F16)</f>
        <v>0.580000000000013</v>
      </c>
      <c r="K16" s="23" t="n">
        <f aca="false">IFERROR(IF(G16=0,0,J16/G16),0)</f>
        <v>0.00402777777777786</v>
      </c>
      <c r="L16" s="24" t="n">
        <v>-0.415</v>
      </c>
      <c r="M16" s="25" t="s">
        <v>25</v>
      </c>
      <c r="N16" s="23" t="n">
        <f aca="false">IFERROR(IF(E16="ENTRADA",IF(G16=0,1,MIN(F16/G16,2)),IF(G16=0,1,MAX(1-ABS(J16)/G16,0))),0)</f>
        <v>0.995972222222222</v>
      </c>
      <c r="O16" s="26" t="n">
        <v>17</v>
      </c>
    </row>
    <row r="17" customFormat="false" ht="18.75" hidden="false" customHeight="true" outlineLevel="0" collapsed="false">
      <c r="A17" s="6" t="s">
        <v>57</v>
      </c>
      <c r="B17" s="7" t="s">
        <v>51</v>
      </c>
      <c r="C17" s="8" t="s">
        <v>52</v>
      </c>
      <c r="D17" s="8" t="s">
        <v>58</v>
      </c>
      <c r="E17" s="9" t="s">
        <v>22</v>
      </c>
      <c r="F17" s="10" t="n">
        <v>435.97</v>
      </c>
      <c r="G17" s="11" t="n">
        <v>300</v>
      </c>
      <c r="H17" s="8" t="s">
        <v>43</v>
      </c>
      <c r="I17" s="8" t="s">
        <v>34</v>
      </c>
      <c r="J17" s="12" t="n">
        <f aca="false">IF(E17="ENTRADA",F17-G17,G17-F17)</f>
        <v>-135.97</v>
      </c>
      <c r="K17" s="13" t="n">
        <f aca="false">IFERROR(IF(G17=0,0,J17/G17),0)</f>
        <v>-0.453233333333333</v>
      </c>
      <c r="L17" s="14" t="n">
        <v>0.301</v>
      </c>
      <c r="M17" s="15" t="s">
        <v>25</v>
      </c>
      <c r="N17" s="13" t="n">
        <f aca="false">IFERROR(IF(E17="ENTRADA",IF(G17=0,1,MIN(F17/G17,2)),IF(G17=0,1,MAX(1-ABS(J17)/G17,0))),0)</f>
        <v>0.546766666666667</v>
      </c>
      <c r="O17" s="16" t="n">
        <v>3</v>
      </c>
    </row>
    <row r="18" customFormat="false" ht="18.75" hidden="false" customHeight="true" outlineLevel="0" collapsed="false">
      <c r="A18" s="17" t="s">
        <v>57</v>
      </c>
      <c r="B18" s="18" t="s">
        <v>59</v>
      </c>
      <c r="C18" s="19" t="s">
        <v>31</v>
      </c>
      <c r="D18" s="19" t="s">
        <v>60</v>
      </c>
      <c r="E18" s="20" t="s">
        <v>22</v>
      </c>
      <c r="F18" s="21" t="n">
        <v>88.34</v>
      </c>
      <c r="G18" s="11" t="n">
        <v>93.33</v>
      </c>
      <c r="H18" s="19" t="s">
        <v>29</v>
      </c>
      <c r="I18" s="19" t="s">
        <v>24</v>
      </c>
      <c r="J18" s="22" t="n">
        <f aca="false">IF(E18="ENTRADA",F18-G18,G18-F18)</f>
        <v>4.99</v>
      </c>
      <c r="K18" s="23" t="n">
        <f aca="false">IFERROR(IF(G18=0,0,J18/G18),0)</f>
        <v>0.0534661952212578</v>
      </c>
      <c r="L18" s="24" t="n">
        <v>-0.55</v>
      </c>
      <c r="M18" s="25" t="s">
        <v>25</v>
      </c>
      <c r="N18" s="23" t="n">
        <f aca="false">IFERROR(IF(E18="ENTRADA",IF(G18=0,1,MIN(F18/G18,2)),IF(G18=0,1,MAX(1-ABS(J18)/G18,0))),0)</f>
        <v>0.946533804778742</v>
      </c>
      <c r="O18" s="26" t="n">
        <v>20</v>
      </c>
    </row>
    <row r="19" customFormat="false" ht="18.75" hidden="false" customHeight="true" outlineLevel="0" collapsed="false">
      <c r="A19" s="6" t="s">
        <v>57</v>
      </c>
      <c r="B19" s="7" t="s">
        <v>61</v>
      </c>
      <c r="C19" s="8" t="s">
        <v>36</v>
      </c>
      <c r="D19" s="8" t="s">
        <v>62</v>
      </c>
      <c r="E19" s="9" t="s">
        <v>22</v>
      </c>
      <c r="F19" s="10" t="n">
        <v>57.58</v>
      </c>
      <c r="G19" s="11" t="n">
        <v>100</v>
      </c>
      <c r="H19" s="8" t="s">
        <v>23</v>
      </c>
      <c r="I19" s="8" t="s">
        <v>24</v>
      </c>
      <c r="J19" s="12" t="n">
        <f aca="false">IF(E19="ENTRADA",F19-G19,G19-F19)</f>
        <v>42.42</v>
      </c>
      <c r="K19" s="13" t="n">
        <f aca="false">IFERROR(IF(G19=0,0,J19/G19),0)</f>
        <v>0.4242</v>
      </c>
      <c r="L19" s="14" t="n">
        <v>-0.625</v>
      </c>
      <c r="M19" s="15" t="s">
        <v>25</v>
      </c>
      <c r="N19" s="13" t="n">
        <f aca="false">IFERROR(IF(E19="ENTRADA",IF(G19=0,1,MIN(F19/G19,2)),IF(G19=0,1,MAX(1-ABS(J19)/G19,0))),0)</f>
        <v>0.5758</v>
      </c>
      <c r="O19" s="16" t="n">
        <v>23</v>
      </c>
    </row>
    <row r="20" customFormat="false" ht="18.75" hidden="false" customHeight="true" outlineLevel="0" collapsed="false">
      <c r="A20" s="17" t="s">
        <v>63</v>
      </c>
      <c r="B20" s="18" t="s">
        <v>64</v>
      </c>
      <c r="C20" s="19" t="s">
        <v>41</v>
      </c>
      <c r="D20" s="19" t="s">
        <v>65</v>
      </c>
      <c r="E20" s="20" t="s">
        <v>22</v>
      </c>
      <c r="F20" s="21" t="n">
        <v>419.52</v>
      </c>
      <c r="G20" s="11" t="n">
        <v>470</v>
      </c>
      <c r="H20" s="19" t="s">
        <v>33</v>
      </c>
      <c r="I20" s="19" t="s">
        <v>34</v>
      </c>
      <c r="J20" s="22" t="n">
        <f aca="false">IF(E20="ENTRADA",F20-G20,G20-F20)</f>
        <v>50.48</v>
      </c>
      <c r="K20" s="23" t="n">
        <f aca="false">IFERROR(IF(G20=0,0,J20/G20),0)</f>
        <v>0.107404255319149</v>
      </c>
      <c r="L20" s="24" t="n">
        <v>0.261</v>
      </c>
      <c r="M20" s="25" t="s">
        <v>25</v>
      </c>
      <c r="N20" s="23" t="n">
        <f aca="false">IFERROR(IF(E20="ENTRADA",IF(G20=0,1,MIN(F20/G20,2)),IF(G20=0,1,MAX(1-ABS(J20)/G20,0))),0)</f>
        <v>0.892595744680851</v>
      </c>
      <c r="O20" s="26" t="n">
        <v>9</v>
      </c>
    </row>
    <row r="21" customFormat="false" ht="18.75" hidden="false" customHeight="true" outlineLevel="0" collapsed="false">
      <c r="A21" s="6" t="s">
        <v>66</v>
      </c>
      <c r="B21" s="7" t="s">
        <v>67</v>
      </c>
      <c r="C21" s="8" t="s">
        <v>46</v>
      </c>
      <c r="D21" s="8" t="s">
        <v>68</v>
      </c>
      <c r="E21" s="28" t="s">
        <v>48</v>
      </c>
      <c r="F21" s="10" t="n">
        <v>1144.69</v>
      </c>
      <c r="G21" s="10" t="n">
        <v>0</v>
      </c>
      <c r="H21" s="8" t="s">
        <v>43</v>
      </c>
      <c r="I21" s="8" t="s">
        <v>24</v>
      </c>
      <c r="J21" s="12" t="n">
        <f aca="false">IF(E21="ENTRADA",F21-G21,G21-F21)</f>
        <v>1144.69</v>
      </c>
      <c r="K21" s="13" t="n">
        <f aca="false">IFERROR(IF(G21=0,0,J21/G21),0)</f>
        <v>0</v>
      </c>
      <c r="L21" s="14" t="n">
        <v>0</v>
      </c>
      <c r="M21" s="16" t="s">
        <v>49</v>
      </c>
      <c r="N21" s="13" t="n">
        <f aca="false">IFERROR(IF(E21="ENTRADA",IF(G21=0,1,MIN(F21/G21,2)),IF(G21=0,1,MAX(1-ABS(J21)/G21,0))),0)</f>
        <v>1</v>
      </c>
      <c r="O21" s="16" t="n">
        <v>2</v>
      </c>
    </row>
    <row r="22" customFormat="false" ht="18.75" hidden="false" customHeight="true" outlineLevel="0" collapsed="false">
      <c r="A22" s="17" t="s">
        <v>69</v>
      </c>
      <c r="B22" s="18" t="s">
        <v>70</v>
      </c>
      <c r="C22" s="19" t="s">
        <v>36</v>
      </c>
      <c r="D22" s="19" t="s">
        <v>71</v>
      </c>
      <c r="E22" s="20" t="s">
        <v>22</v>
      </c>
      <c r="F22" s="21" t="n">
        <v>64.09</v>
      </c>
      <c r="G22" s="11" t="n">
        <v>100</v>
      </c>
      <c r="H22" s="19" t="s">
        <v>23</v>
      </c>
      <c r="I22" s="19" t="s">
        <v>24</v>
      </c>
      <c r="J22" s="22" t="n">
        <f aca="false">IF(E22="ENTRADA",F22-G22,G22-F22)</f>
        <v>35.91</v>
      </c>
      <c r="K22" s="23" t="n">
        <f aca="false">IFERROR(IF(G22=0,0,J22/G22),0)</f>
        <v>0.3591</v>
      </c>
      <c r="L22" s="24" t="n">
        <v>-0.609</v>
      </c>
      <c r="M22" s="25" t="s">
        <v>25</v>
      </c>
      <c r="N22" s="23" t="n">
        <f aca="false">IFERROR(IF(E22="ENTRADA",IF(G22=0,1,MIN(F22/G22,2)),IF(G22=0,1,MAX(1-ABS(J22)/G22,0))),0)</f>
        <v>0.6409</v>
      </c>
      <c r="O22" s="26" t="n">
        <v>24</v>
      </c>
    </row>
    <row r="23" customFormat="false" ht="18.75" hidden="false" customHeight="true" outlineLevel="0" collapsed="false">
      <c r="A23" s="6" t="s">
        <v>72</v>
      </c>
      <c r="B23" s="7" t="s">
        <v>73</v>
      </c>
      <c r="C23" s="8" t="s">
        <v>36</v>
      </c>
      <c r="D23" s="8" t="s">
        <v>71</v>
      </c>
      <c r="E23" s="9" t="s">
        <v>22</v>
      </c>
      <c r="F23" s="10" t="n">
        <v>78.15</v>
      </c>
      <c r="G23" s="11" t="n">
        <v>100</v>
      </c>
      <c r="H23" s="8" t="s">
        <v>33</v>
      </c>
      <c r="I23" s="8" t="s">
        <v>34</v>
      </c>
      <c r="J23" s="12" t="n">
        <f aca="false">IF(E23="ENTRADA",F23-G23,G23-F23)</f>
        <v>21.85</v>
      </c>
      <c r="K23" s="13" t="n">
        <f aca="false">IFERROR(IF(G23=0,0,J23/G23),0)</f>
        <v>0.2185</v>
      </c>
      <c r="L23" s="14" t="n">
        <v>-0.575</v>
      </c>
      <c r="M23" s="15" t="s">
        <v>25</v>
      </c>
      <c r="N23" s="13" t="n">
        <f aca="false">IFERROR(IF(E23="ENTRADA",IF(G23=0,1,MIN(F23/G23,2)),IF(G23=0,1,MAX(1-ABS(J23)/G23,0))),0)</f>
        <v>0.7815</v>
      </c>
      <c r="O23" s="16" t="n">
        <v>22</v>
      </c>
    </row>
    <row r="24" customFormat="false" ht="18.75" hidden="false" customHeight="true" outlineLevel="0" collapsed="false">
      <c r="A24" s="17" t="s">
        <v>74</v>
      </c>
      <c r="B24" s="18" t="s">
        <v>75</v>
      </c>
      <c r="C24" s="19" t="s">
        <v>76</v>
      </c>
      <c r="D24" s="19" t="s">
        <v>77</v>
      </c>
      <c r="E24" s="20" t="s">
        <v>22</v>
      </c>
      <c r="F24" s="21" t="n">
        <v>41.91</v>
      </c>
      <c r="G24" s="11" t="n">
        <v>100</v>
      </c>
      <c r="H24" s="19" t="s">
        <v>43</v>
      </c>
      <c r="I24" s="19" t="s">
        <v>24</v>
      </c>
      <c r="J24" s="22" t="n">
        <f aca="false">IF(E24="ENTRADA",F24-G24,G24-F24)</f>
        <v>58.09</v>
      </c>
      <c r="K24" s="23" t="n">
        <f aca="false">IFERROR(IF(G24=0,0,J24/G24),0)</f>
        <v>0.5809</v>
      </c>
      <c r="L24" s="24" t="n">
        <v>-0.664</v>
      </c>
      <c r="M24" s="25" t="s">
        <v>25</v>
      </c>
      <c r="N24" s="23" t="n">
        <f aca="false">IFERROR(IF(E24="ENTRADA",IF(G24=0,1,MIN(F24/G24,2)),IF(G24=0,1,MAX(1-ABS(J24)/G24,0))),0)</f>
        <v>0.4191</v>
      </c>
      <c r="O24" s="26" t="n">
        <v>30</v>
      </c>
    </row>
    <row r="25" customFormat="false" ht="18.75" hidden="false" customHeight="true" outlineLevel="0" collapsed="false">
      <c r="A25" s="6" t="s">
        <v>78</v>
      </c>
      <c r="B25" s="7" t="s">
        <v>54</v>
      </c>
      <c r="C25" s="8" t="s">
        <v>41</v>
      </c>
      <c r="D25" s="8" t="s">
        <v>79</v>
      </c>
      <c r="E25" s="9" t="s">
        <v>22</v>
      </c>
      <c r="F25" s="10" t="n">
        <v>418.64</v>
      </c>
      <c r="G25" s="11" t="n">
        <v>470</v>
      </c>
      <c r="H25" s="8" t="s">
        <v>43</v>
      </c>
      <c r="I25" s="8" t="s">
        <v>34</v>
      </c>
      <c r="J25" s="12" t="n">
        <f aca="false">IF(E25="ENTRADA",F25-G25,G25-F25)</f>
        <v>51.36</v>
      </c>
      <c r="K25" s="13" t="n">
        <f aca="false">IFERROR(IF(G25=0,0,J25/G25),0)</f>
        <v>0.109276595744681</v>
      </c>
      <c r="L25" s="14" t="n">
        <v>0.259</v>
      </c>
      <c r="M25" s="15" t="s">
        <v>25</v>
      </c>
      <c r="N25" s="13" t="n">
        <f aca="false">IFERROR(IF(E25="ENTRADA",IF(G25=0,1,MIN(F25/G25,2)),IF(G25=0,1,MAX(1-ABS(J25)/G25,0))),0)</f>
        <v>0.890723404255319</v>
      </c>
      <c r="O25" s="16" t="n">
        <v>7</v>
      </c>
    </row>
    <row r="26" customFormat="false" ht="18.75" hidden="false" customHeight="true" outlineLevel="0" collapsed="false">
      <c r="A26" s="17" t="s">
        <v>78</v>
      </c>
      <c r="B26" s="18" t="s">
        <v>56</v>
      </c>
      <c r="C26" s="19" t="s">
        <v>27</v>
      </c>
      <c r="D26" s="19" t="s">
        <v>80</v>
      </c>
      <c r="E26" s="20" t="s">
        <v>22</v>
      </c>
      <c r="F26" s="21" t="n">
        <v>57.41</v>
      </c>
      <c r="G26" s="11" t="n">
        <v>144</v>
      </c>
      <c r="H26" s="19" t="s">
        <v>33</v>
      </c>
      <c r="I26" s="19" t="s">
        <v>24</v>
      </c>
      <c r="J26" s="22" t="n">
        <f aca="false">IF(E26="ENTRADA",F26-G26,G26-F26)</f>
        <v>86.59</v>
      </c>
      <c r="K26" s="23" t="n">
        <f aca="false">IFERROR(IF(G26=0,0,J26/G26),0)</f>
        <v>0.601319444444445</v>
      </c>
      <c r="L26" s="24" t="n">
        <v>-0.626</v>
      </c>
      <c r="M26" s="25" t="s">
        <v>25</v>
      </c>
      <c r="N26" s="23" t="n">
        <f aca="false">IFERROR(IF(E26="ENTRADA",IF(G26=0,1,MIN(F26/G26,2)),IF(G26=0,1,MAX(1-ABS(J26)/G26,0))),0)</f>
        <v>0.398680555555556</v>
      </c>
      <c r="O26" s="26" t="n">
        <v>16</v>
      </c>
    </row>
    <row r="27" customFormat="false" ht="18.75" hidden="false" customHeight="true" outlineLevel="0" collapsed="false">
      <c r="A27" s="6" t="s">
        <v>81</v>
      </c>
      <c r="B27" s="7" t="s">
        <v>75</v>
      </c>
      <c r="C27" s="8" t="s">
        <v>76</v>
      </c>
      <c r="D27" s="8" t="s">
        <v>82</v>
      </c>
      <c r="E27" s="9" t="s">
        <v>22</v>
      </c>
      <c r="F27" s="10" t="n">
        <v>61.17</v>
      </c>
      <c r="G27" s="11" t="n">
        <v>100</v>
      </c>
      <c r="H27" s="8" t="s">
        <v>43</v>
      </c>
      <c r="I27" s="8" t="s">
        <v>24</v>
      </c>
      <c r="J27" s="12" t="n">
        <f aca="false">IF(E27="ENTRADA",F27-G27,G27-F27)</f>
        <v>38.83</v>
      </c>
      <c r="K27" s="13" t="n">
        <f aca="false">IFERROR(IF(G27=0,0,J27/G27),0)</f>
        <v>0.3883</v>
      </c>
      <c r="L27" s="14" t="n">
        <v>-0.616</v>
      </c>
      <c r="M27" s="15" t="s">
        <v>25</v>
      </c>
      <c r="N27" s="13" t="n">
        <f aca="false">IFERROR(IF(E27="ENTRADA",IF(G27=0,1,MIN(F27/G27,2)),IF(G27=0,1,MAX(1-ABS(J27)/G27,0))),0)</f>
        <v>0.6117</v>
      </c>
      <c r="O27" s="16" t="n">
        <v>31</v>
      </c>
    </row>
    <row r="28" customFormat="false" ht="18.75" hidden="false" customHeight="true" outlineLevel="0" collapsed="false">
      <c r="A28" s="17" t="s">
        <v>83</v>
      </c>
      <c r="B28" s="18" t="s">
        <v>26</v>
      </c>
      <c r="C28" s="19" t="s">
        <v>27</v>
      </c>
      <c r="D28" s="19" t="s">
        <v>80</v>
      </c>
      <c r="E28" s="20" t="s">
        <v>22</v>
      </c>
      <c r="F28" s="21" t="n">
        <v>92.87</v>
      </c>
      <c r="G28" s="11" t="n">
        <v>144</v>
      </c>
      <c r="H28" s="19" t="s">
        <v>29</v>
      </c>
      <c r="I28" s="19" t="s">
        <v>24</v>
      </c>
      <c r="J28" s="22" t="n">
        <f aca="false">IF(E28="ENTRADA",F28-G28,G28-F28)</f>
        <v>51.13</v>
      </c>
      <c r="K28" s="23" t="n">
        <f aca="false">IFERROR(IF(G28=0,0,J28/G28),0)</f>
        <v>0.355069444444444</v>
      </c>
      <c r="L28" s="24" t="n">
        <v>-0.539</v>
      </c>
      <c r="M28" s="25" t="s">
        <v>25</v>
      </c>
      <c r="N28" s="23" t="n">
        <f aca="false">IFERROR(IF(E28="ENTRADA",IF(G28=0,1,MIN(F28/G28,2)),IF(G28=0,1,MAX(1-ABS(J28)/G28,0))),0)</f>
        <v>0.644930555555556</v>
      </c>
      <c r="O28" s="26" t="n">
        <v>18</v>
      </c>
    </row>
    <row r="29" customFormat="false" ht="18.75" hidden="false" customHeight="true" outlineLevel="0" collapsed="false">
      <c r="A29" s="6" t="s">
        <v>83</v>
      </c>
      <c r="B29" s="7" t="s">
        <v>84</v>
      </c>
      <c r="C29" s="8" t="s">
        <v>85</v>
      </c>
      <c r="D29" s="8" t="s">
        <v>86</v>
      </c>
      <c r="E29" s="9" t="s">
        <v>22</v>
      </c>
      <c r="F29" s="10" t="n">
        <v>916.66</v>
      </c>
      <c r="G29" s="11" t="n">
        <v>625</v>
      </c>
      <c r="H29" s="8" t="s">
        <v>23</v>
      </c>
      <c r="I29" s="8" t="s">
        <v>34</v>
      </c>
      <c r="J29" s="12" t="n">
        <f aca="false">IF(E29="ENTRADA",F29-G29,G29-F29)</f>
        <v>-291.66</v>
      </c>
      <c r="K29" s="13" t="n">
        <f aca="false">IFERROR(IF(G29=0,0,J29/G29),0)</f>
        <v>-0.466656</v>
      </c>
      <c r="L29" s="14" t="n">
        <v>1.478</v>
      </c>
      <c r="M29" s="15" t="s">
        <v>25</v>
      </c>
      <c r="N29" s="13" t="n">
        <f aca="false">IFERROR(IF(E29="ENTRADA",IF(G29=0,1,MIN(F29/G29,2)),IF(G29=0,1,MAX(1-ABS(J29)/G29,0))),0)</f>
        <v>0.533344</v>
      </c>
      <c r="O29" s="16" t="n">
        <v>28</v>
      </c>
    </row>
    <row r="30" customFormat="false" ht="18.75" hidden="false" customHeight="true" outlineLevel="0" collapsed="false">
      <c r="A30" s="17" t="s">
        <v>87</v>
      </c>
      <c r="B30" s="18" t="s">
        <v>88</v>
      </c>
      <c r="C30" s="19" t="s">
        <v>52</v>
      </c>
      <c r="D30" s="19" t="s">
        <v>89</v>
      </c>
      <c r="E30" s="20" t="s">
        <v>22</v>
      </c>
      <c r="F30" s="21" t="n">
        <v>278.22</v>
      </c>
      <c r="G30" s="11" t="n">
        <v>300</v>
      </c>
      <c r="H30" s="19" t="s">
        <v>43</v>
      </c>
      <c r="I30" s="19" t="s">
        <v>34</v>
      </c>
      <c r="J30" s="22" t="n">
        <f aca="false">IF(E30="ENTRADA",F30-G30,G30-F30)</f>
        <v>21.78</v>
      </c>
      <c r="K30" s="23" t="n">
        <f aca="false">IFERROR(IF(G30=0,0,J30/G30),0)</f>
        <v>0.0725999999999999</v>
      </c>
      <c r="L30" s="24" t="n">
        <v>-0.085</v>
      </c>
      <c r="M30" s="25" t="s">
        <v>25</v>
      </c>
      <c r="N30" s="23" t="n">
        <f aca="false">IFERROR(IF(E30="ENTRADA",IF(G30=0,1,MIN(F30/G30,2)),IF(G30=0,1,MAX(1-ABS(J30)/G30,0))),0)</f>
        <v>0.9274</v>
      </c>
      <c r="O30" s="26" t="n">
        <v>4</v>
      </c>
    </row>
    <row r="31" customFormat="false" ht="18.75" hidden="false" customHeight="true" outlineLevel="0" collapsed="false">
      <c r="A31" s="6" t="s">
        <v>90</v>
      </c>
      <c r="B31" s="7" t="s">
        <v>84</v>
      </c>
      <c r="C31" s="8" t="s">
        <v>85</v>
      </c>
      <c r="D31" s="8" t="s">
        <v>91</v>
      </c>
      <c r="E31" s="9" t="s">
        <v>22</v>
      </c>
      <c r="F31" s="10" t="n">
        <v>732.25</v>
      </c>
      <c r="G31" s="11" t="n">
        <v>625</v>
      </c>
      <c r="H31" s="8" t="s">
        <v>29</v>
      </c>
      <c r="I31" s="8" t="s">
        <v>34</v>
      </c>
      <c r="J31" s="12" t="n">
        <f aca="false">IF(E31="ENTRADA",F31-G31,G31-F31)</f>
        <v>-107.25</v>
      </c>
      <c r="K31" s="13" t="n">
        <f aca="false">IFERROR(IF(G31=0,0,J31/G31),0)</f>
        <v>-0.1716</v>
      </c>
      <c r="L31" s="14" t="n">
        <v>1.026</v>
      </c>
      <c r="M31" s="15" t="s">
        <v>25</v>
      </c>
      <c r="N31" s="13" t="n">
        <f aca="false">IFERROR(IF(E31="ENTRADA",IF(G31=0,1,MIN(F31/G31,2)),IF(G31=0,1,MAX(1-ABS(J31)/G31,0))),0)</f>
        <v>0.8284</v>
      </c>
      <c r="O31" s="16" t="n">
        <v>26</v>
      </c>
    </row>
    <row r="32" customFormat="false" ht="18.75" hidden="false" customHeight="true" outlineLevel="0" collapsed="false">
      <c r="A32" s="17" t="s">
        <v>90</v>
      </c>
      <c r="B32" s="18" t="s">
        <v>92</v>
      </c>
      <c r="C32" s="19" t="s">
        <v>85</v>
      </c>
      <c r="D32" s="19" t="s">
        <v>93</v>
      </c>
      <c r="E32" s="20" t="s">
        <v>22</v>
      </c>
      <c r="F32" s="21" t="n">
        <v>501.93</v>
      </c>
      <c r="G32" s="11" t="n">
        <v>625</v>
      </c>
      <c r="H32" s="19" t="s">
        <v>33</v>
      </c>
      <c r="I32" s="19" t="s">
        <v>34</v>
      </c>
      <c r="J32" s="22" t="n">
        <f aca="false">IF(E32="ENTRADA",F32-G32,G32-F32)</f>
        <v>123.07</v>
      </c>
      <c r="K32" s="23" t="n">
        <f aca="false">IFERROR(IF(G32=0,0,J32/G32),0)</f>
        <v>0.196912</v>
      </c>
      <c r="L32" s="24" t="n">
        <v>0.463</v>
      </c>
      <c r="M32" s="25" t="s">
        <v>25</v>
      </c>
      <c r="N32" s="23" t="n">
        <f aca="false">IFERROR(IF(E32="ENTRADA",IF(G32=0,1,MIN(F32/G32,2)),IF(G32=0,1,MAX(1-ABS(J32)/G32,0))),0)</f>
        <v>0.803088</v>
      </c>
      <c r="O32" s="26" t="n">
        <v>27</v>
      </c>
    </row>
    <row r="33" customFormat="false" ht="18.75" hidden="false" customHeight="true" outlineLevel="0" collapsed="false">
      <c r="A33" s="6" t="s">
        <v>94</v>
      </c>
      <c r="B33" s="7" t="s">
        <v>95</v>
      </c>
      <c r="C33" s="8" t="s">
        <v>31</v>
      </c>
      <c r="D33" s="8" t="s">
        <v>96</v>
      </c>
      <c r="E33" s="9" t="s">
        <v>22</v>
      </c>
      <c r="F33" s="10" t="n">
        <v>60.45</v>
      </c>
      <c r="G33" s="11" t="n">
        <v>93.33</v>
      </c>
      <c r="H33" s="8" t="s">
        <v>33</v>
      </c>
      <c r="I33" s="8" t="s">
        <v>34</v>
      </c>
      <c r="J33" s="12" t="n">
        <f aca="false">IF(E33="ENTRADA",F33-G33,G33-F33)</f>
        <v>32.88</v>
      </c>
      <c r="K33" s="13" t="n">
        <f aca="false">IFERROR(IF(G33=0,0,J33/G33),0)</f>
        <v>0.352298296367727</v>
      </c>
      <c r="L33" s="14" t="n">
        <v>-0.618</v>
      </c>
      <c r="M33" s="15" t="s">
        <v>25</v>
      </c>
      <c r="N33" s="13" t="n">
        <f aca="false">IFERROR(IF(E33="ENTRADA",IF(G33=0,1,MIN(F33/G33,2)),IF(G33=0,1,MAX(1-ABS(J33)/G33,0))),0)</f>
        <v>0.647701703632273</v>
      </c>
      <c r="O33" s="16" t="n">
        <v>19</v>
      </c>
    </row>
    <row r="34" customFormat="false" ht="18.75" hidden="false" customHeight="true" outlineLevel="0" collapsed="false">
      <c r="A34" s="17" t="s">
        <v>97</v>
      </c>
      <c r="B34" s="18" t="s">
        <v>98</v>
      </c>
      <c r="C34" s="19" t="s">
        <v>20</v>
      </c>
      <c r="D34" s="19" t="s">
        <v>99</v>
      </c>
      <c r="E34" s="20" t="s">
        <v>22</v>
      </c>
      <c r="F34" s="21" t="n">
        <v>64.62</v>
      </c>
      <c r="G34" s="11" t="n">
        <v>116.67</v>
      </c>
      <c r="H34" s="19" t="s">
        <v>43</v>
      </c>
      <c r="I34" s="19" t="s">
        <v>24</v>
      </c>
      <c r="J34" s="22" t="n">
        <f aca="false">IF(E34="ENTRADA",F34-G34,G34-F34)</f>
        <v>52.05</v>
      </c>
      <c r="K34" s="23" t="n">
        <f aca="false">IFERROR(IF(G34=0,0,J34/G34),0)</f>
        <v>0.446130110568269</v>
      </c>
      <c r="L34" s="24" t="n">
        <v>-0.608</v>
      </c>
      <c r="M34" s="25" t="s">
        <v>25</v>
      </c>
      <c r="N34" s="23" t="n">
        <f aca="false">IFERROR(IF(E34="ENTRADA",IF(G34=0,1,MIN(F34/G34,2)),IF(G34=0,1,MAX(1-ABS(J34)/G34,0))),0)</f>
        <v>0.553869889431731</v>
      </c>
      <c r="O34" s="26" t="n">
        <v>12</v>
      </c>
    </row>
    <row r="35" customFormat="false" ht="18.75" hidden="false" customHeight="true" outlineLevel="0" collapsed="false">
      <c r="A35" s="6" t="s">
        <v>100</v>
      </c>
      <c r="B35" s="7" t="s">
        <v>64</v>
      </c>
      <c r="C35" s="8" t="s">
        <v>41</v>
      </c>
      <c r="D35" s="8" t="s">
        <v>42</v>
      </c>
      <c r="E35" s="9" t="s">
        <v>22</v>
      </c>
      <c r="F35" s="10" t="n">
        <v>566.58</v>
      </c>
      <c r="G35" s="11" t="n">
        <v>470</v>
      </c>
      <c r="H35" s="8" t="s">
        <v>33</v>
      </c>
      <c r="I35" s="8" t="s">
        <v>34</v>
      </c>
      <c r="J35" s="12" t="n">
        <f aca="false">IF(E35="ENTRADA",F35-G35,G35-F35)</f>
        <v>-96.58</v>
      </c>
      <c r="K35" s="13" t="n">
        <f aca="false">IFERROR(IF(G35=0,0,J35/G35),0)</f>
        <v>-0.205489361702128</v>
      </c>
      <c r="L35" s="14" t="n">
        <v>0.621</v>
      </c>
      <c r="M35" s="15" t="s">
        <v>25</v>
      </c>
      <c r="N35" s="13" t="n">
        <f aca="false">IFERROR(IF(E35="ENTRADA",IF(G35=0,1,MIN(F35/G35,2)),IF(G35=0,1,MAX(1-ABS(J35)/G35,0))),0)</f>
        <v>0.794510638297872</v>
      </c>
      <c r="O35" s="16" t="n">
        <v>8</v>
      </c>
    </row>
    <row r="36" customFormat="false" ht="18.75" hidden="false" customHeight="true" outlineLevel="0" collapsed="false">
      <c r="A36" s="17" t="s">
        <v>100</v>
      </c>
      <c r="B36" s="18" t="s">
        <v>101</v>
      </c>
      <c r="C36" s="19" t="s">
        <v>85</v>
      </c>
      <c r="D36" s="19" t="s">
        <v>102</v>
      </c>
      <c r="E36" s="20" t="s">
        <v>22</v>
      </c>
      <c r="F36" s="21" t="n">
        <v>465.95</v>
      </c>
      <c r="G36" s="11" t="n">
        <v>625</v>
      </c>
      <c r="H36" s="19" t="s">
        <v>43</v>
      </c>
      <c r="I36" s="19" t="s">
        <v>34</v>
      </c>
      <c r="J36" s="22" t="n">
        <f aca="false">IF(E36="ENTRADA",F36-G36,G36-F36)</f>
        <v>159.05</v>
      </c>
      <c r="K36" s="23" t="n">
        <f aca="false">IFERROR(IF(G36=0,0,J36/G36),0)</f>
        <v>0.25448</v>
      </c>
      <c r="L36" s="24" t="n">
        <v>0.375</v>
      </c>
      <c r="M36" s="25" t="s">
        <v>25</v>
      </c>
      <c r="N36" s="23" t="n">
        <f aca="false">IFERROR(IF(E36="ENTRADA",IF(G36=0,1,MIN(F36/G36,2)),IF(G36=0,1,MAX(1-ABS(J36)/G36,0))),0)</f>
        <v>0.74552</v>
      </c>
      <c r="O36" s="26" t="n">
        <v>29</v>
      </c>
    </row>
    <row r="37" customFormat="false" ht="18.75" hidden="false" customHeight="true" outlineLevel="0" collapsed="false">
      <c r="A37" s="6" t="s">
        <v>103</v>
      </c>
      <c r="B37" s="7" t="s">
        <v>104</v>
      </c>
      <c r="C37" s="8" t="s">
        <v>76</v>
      </c>
      <c r="D37" s="8" t="s">
        <v>82</v>
      </c>
      <c r="E37" s="9" t="s">
        <v>22</v>
      </c>
      <c r="F37" s="10" t="n">
        <v>107.69</v>
      </c>
      <c r="G37" s="11" t="n">
        <v>100</v>
      </c>
      <c r="H37" s="8" t="s">
        <v>38</v>
      </c>
      <c r="I37" s="8" t="s">
        <v>34</v>
      </c>
      <c r="J37" s="12" t="n">
        <f aca="false">IF(E37="ENTRADA",F37-G37,G37-F37)</f>
        <v>-7.69</v>
      </c>
      <c r="K37" s="13" t="n">
        <f aca="false">IFERROR(IF(G37=0,0,J37/G37),0)</f>
        <v>-0.0769</v>
      </c>
      <c r="L37" s="14" t="n">
        <v>-0.503</v>
      </c>
      <c r="M37" s="15" t="s">
        <v>25</v>
      </c>
      <c r="N37" s="13" t="n">
        <f aca="false">IFERROR(IF(E37="ENTRADA",IF(G37=0,1,MIN(F37/G37,2)),IF(G37=0,1,MAX(1-ABS(J37)/G37,0))),0)</f>
        <v>0.9231</v>
      </c>
      <c r="O37" s="16" t="n">
        <v>32</v>
      </c>
    </row>
    <row r="38" customFormat="false" ht="18.75" hidden="false" customHeight="true" outlineLevel="0" collapsed="false">
      <c r="A38" s="17" t="s">
        <v>105</v>
      </c>
      <c r="B38" s="18" t="s">
        <v>106</v>
      </c>
      <c r="C38" s="19" t="s">
        <v>20</v>
      </c>
      <c r="D38" s="19" t="s">
        <v>99</v>
      </c>
      <c r="E38" s="20" t="s">
        <v>22</v>
      </c>
      <c r="F38" s="21" t="n">
        <v>57.05</v>
      </c>
      <c r="G38" s="11" t="n">
        <v>116.67</v>
      </c>
      <c r="H38" s="19" t="s">
        <v>33</v>
      </c>
      <c r="I38" s="19" t="s">
        <v>34</v>
      </c>
      <c r="J38" s="22" t="n">
        <f aca="false">IF(E38="ENTRADA",F38-G38,G38-F38)</f>
        <v>59.62</v>
      </c>
      <c r="K38" s="23" t="n">
        <f aca="false">IFERROR(IF(G38=0,0,J38/G38),0)</f>
        <v>0.511013971029399</v>
      </c>
      <c r="L38" s="24" t="n">
        <v>-0.627</v>
      </c>
      <c r="M38" s="25" t="s">
        <v>25</v>
      </c>
      <c r="N38" s="23" t="n">
        <f aca="false">IFERROR(IF(E38="ENTRADA",IF(G38=0,1,MIN(F38/G38,2)),IF(G38=0,1,MAX(1-ABS(J38)/G38,0))),0)</f>
        <v>0.488986028970601</v>
      </c>
      <c r="O38" s="26" t="n">
        <v>11</v>
      </c>
    </row>
    <row r="39" customFormat="false" ht="18.75" hidden="false" customHeight="true" outlineLevel="0" collapsed="false">
      <c r="A39" s="6" t="s">
        <v>107</v>
      </c>
      <c r="B39" s="7" t="s">
        <v>108</v>
      </c>
      <c r="C39" s="8" t="s">
        <v>27</v>
      </c>
      <c r="D39" s="8" t="s">
        <v>109</v>
      </c>
      <c r="E39" s="9" t="s">
        <v>22</v>
      </c>
      <c r="F39" s="10" t="n">
        <v>275.6</v>
      </c>
      <c r="G39" s="11" t="n">
        <v>240</v>
      </c>
      <c r="H39" s="8" t="s">
        <v>38</v>
      </c>
      <c r="I39" s="8" t="s">
        <v>34</v>
      </c>
      <c r="J39" s="12" t="n">
        <f aca="false">IF(E39="ENTRADA",F39-G39,G39-F39)</f>
        <v>-35.6</v>
      </c>
      <c r="K39" s="13" t="n">
        <f aca="false">IFERROR(IF(G39=0,0,J39/G39),0)</f>
        <v>-0.148333333333333</v>
      </c>
      <c r="L39" s="14" t="n">
        <v>-0.092</v>
      </c>
      <c r="M39" s="15" t="s">
        <v>25</v>
      </c>
      <c r="N39" s="13" t="n">
        <f aca="false">IFERROR(IF(E39="ENTRADA",IF(G39=0,1,MIN(F39/G39,2)),IF(G39=0,1,MAX(1-ABS(J39)/G39,0))),0)</f>
        <v>0.851666666666667</v>
      </c>
      <c r="O39" s="16" t="n">
        <v>42</v>
      </c>
    </row>
    <row r="40" customFormat="false" ht="18.75" hidden="false" customHeight="true" outlineLevel="0" collapsed="false">
      <c r="A40" s="17" t="s">
        <v>110</v>
      </c>
      <c r="B40" s="18" t="s">
        <v>64</v>
      </c>
      <c r="C40" s="19" t="s">
        <v>41</v>
      </c>
      <c r="D40" s="19" t="s">
        <v>111</v>
      </c>
      <c r="E40" s="20" t="s">
        <v>22</v>
      </c>
      <c r="F40" s="21" t="n">
        <v>859.2</v>
      </c>
      <c r="G40" s="11" t="n">
        <v>1175</v>
      </c>
      <c r="H40" s="19" t="s">
        <v>43</v>
      </c>
      <c r="I40" s="19" t="s">
        <v>34</v>
      </c>
      <c r="J40" s="22" t="n">
        <f aca="false">IF(E40="ENTRADA",F40-G40,G40-F40)</f>
        <v>315.8</v>
      </c>
      <c r="K40" s="23" t="n">
        <f aca="false">IFERROR(IF(G40=0,0,J40/G40),0)</f>
        <v>0.268765957446809</v>
      </c>
      <c r="L40" s="24" t="n">
        <v>1.337</v>
      </c>
      <c r="M40" s="25" t="s">
        <v>25</v>
      </c>
      <c r="N40" s="23" t="n">
        <f aca="false">IFERROR(IF(E40="ENTRADA",IF(G40=0,1,MIN(F40/G40,2)),IF(G40=0,1,MAX(1-ABS(J40)/G40,0))),0)</f>
        <v>0.731234042553192</v>
      </c>
      <c r="O40" s="26" t="n">
        <v>36</v>
      </c>
    </row>
    <row r="41" customFormat="false" ht="18.75" hidden="false" customHeight="true" outlineLevel="0" collapsed="false">
      <c r="A41" s="6" t="s">
        <v>112</v>
      </c>
      <c r="B41" s="7" t="s">
        <v>113</v>
      </c>
      <c r="C41" s="8" t="s">
        <v>41</v>
      </c>
      <c r="D41" s="8" t="s">
        <v>114</v>
      </c>
      <c r="E41" s="9" t="s">
        <v>22</v>
      </c>
      <c r="F41" s="10" t="n">
        <v>944.42</v>
      </c>
      <c r="G41" s="11" t="n">
        <v>1175</v>
      </c>
      <c r="H41" s="8" t="s">
        <v>23</v>
      </c>
      <c r="I41" s="8" t="s">
        <v>34</v>
      </c>
      <c r="J41" s="12" t="n">
        <f aca="false">IF(E41="ENTRADA",F41-G41,G41-F41)</f>
        <v>230.58</v>
      </c>
      <c r="K41" s="13" t="n">
        <f aca="false">IFERROR(IF(G41=0,0,J41/G41),0)</f>
        <v>0.19623829787234</v>
      </c>
      <c r="L41" s="14" t="n">
        <v>1.546</v>
      </c>
      <c r="M41" s="15" t="s">
        <v>25</v>
      </c>
      <c r="N41" s="13" t="n">
        <f aca="false">IFERROR(IF(E41="ENTRADA",IF(G41=0,1,MIN(F41/G41,2)),IF(G41=0,1,MAX(1-ABS(J41)/G41,0))),0)</f>
        <v>0.80376170212766</v>
      </c>
      <c r="O41" s="16" t="n">
        <v>37</v>
      </c>
    </row>
    <row r="42" customFormat="false" ht="18.75" hidden="false" customHeight="true" outlineLevel="0" collapsed="false">
      <c r="A42" s="17" t="s">
        <v>112</v>
      </c>
      <c r="B42" s="18" t="s">
        <v>59</v>
      </c>
      <c r="C42" s="19" t="s">
        <v>31</v>
      </c>
      <c r="D42" s="19" t="s">
        <v>96</v>
      </c>
      <c r="E42" s="20" t="s">
        <v>22</v>
      </c>
      <c r="F42" s="21" t="n">
        <v>528.51</v>
      </c>
      <c r="G42" s="11" t="n">
        <v>280</v>
      </c>
      <c r="H42" s="19" t="s">
        <v>43</v>
      </c>
      <c r="I42" s="19" t="s">
        <v>34</v>
      </c>
      <c r="J42" s="22" t="n">
        <f aca="false">IF(E42="ENTRADA",F42-G42,G42-F42)</f>
        <v>-248.51</v>
      </c>
      <c r="K42" s="23" t="n">
        <f aca="false">IFERROR(IF(G42=0,0,J42/G42),0)</f>
        <v>-0.887535714285714</v>
      </c>
      <c r="L42" s="24" t="n">
        <v>0.528</v>
      </c>
      <c r="M42" s="25" t="s">
        <v>25</v>
      </c>
      <c r="N42" s="23" t="n">
        <f aca="false">IFERROR(IF(E42="ENTRADA",IF(G42=0,1,MIN(F42/G42,2)),IF(G42=0,1,MAX(1-ABS(J42)/G42,0))),0)</f>
        <v>0.112464285714286</v>
      </c>
      <c r="O42" s="26" t="n">
        <v>43</v>
      </c>
    </row>
    <row r="43" customFormat="false" ht="18.75" hidden="false" customHeight="true" outlineLevel="0" collapsed="false">
      <c r="A43" s="6" t="s">
        <v>112</v>
      </c>
      <c r="B43" s="7" t="s">
        <v>70</v>
      </c>
      <c r="C43" s="8" t="s">
        <v>36</v>
      </c>
      <c r="D43" s="8" t="s">
        <v>115</v>
      </c>
      <c r="E43" s="9" t="s">
        <v>22</v>
      </c>
      <c r="F43" s="10" t="n">
        <v>90.62</v>
      </c>
      <c r="G43" s="11" t="n">
        <v>133.33</v>
      </c>
      <c r="H43" s="8" t="s">
        <v>29</v>
      </c>
      <c r="I43" s="8" t="s">
        <v>34</v>
      </c>
      <c r="J43" s="12" t="n">
        <f aca="false">IF(E43="ENTRADA",F43-G43,G43-F43)</f>
        <v>42.71</v>
      </c>
      <c r="K43" s="13" t="n">
        <f aca="false">IFERROR(IF(G43=0,0,J43/G43),0)</f>
        <v>0.320333008325208</v>
      </c>
      <c r="L43" s="14" t="n">
        <v>-0.544</v>
      </c>
      <c r="M43" s="15" t="s">
        <v>25</v>
      </c>
      <c r="N43" s="13" t="n">
        <f aca="false">IFERROR(IF(E43="ENTRADA",IF(G43=0,1,MIN(F43/G43,2)),IF(G43=0,1,MAX(1-ABS(J43)/G43,0))),0)</f>
        <v>0.679666991674792</v>
      </c>
      <c r="O43" s="16" t="n">
        <v>44</v>
      </c>
    </row>
    <row r="44" customFormat="false" ht="18.75" hidden="false" customHeight="true" outlineLevel="0" collapsed="false">
      <c r="A44" s="17" t="s">
        <v>116</v>
      </c>
      <c r="B44" s="18" t="s">
        <v>26</v>
      </c>
      <c r="C44" s="19" t="s">
        <v>27</v>
      </c>
      <c r="D44" s="19" t="s">
        <v>80</v>
      </c>
      <c r="E44" s="20" t="s">
        <v>22</v>
      </c>
      <c r="F44" s="21" t="n">
        <v>185.58</v>
      </c>
      <c r="G44" s="11" t="n">
        <v>240</v>
      </c>
      <c r="H44" s="19" t="s">
        <v>43</v>
      </c>
      <c r="I44" s="19" t="s">
        <v>24</v>
      </c>
      <c r="J44" s="22" t="n">
        <f aca="false">IF(E44="ENTRADA",F44-G44,G44-F44)</f>
        <v>54.42</v>
      </c>
      <c r="K44" s="23" t="n">
        <f aca="false">IFERROR(IF(G44=0,0,J44/G44),0)</f>
        <v>0.22675</v>
      </c>
      <c r="L44" s="24" t="n">
        <v>-0.312</v>
      </c>
      <c r="M44" s="25" t="s">
        <v>25</v>
      </c>
      <c r="N44" s="23" t="n">
        <f aca="false">IFERROR(IF(E44="ENTRADA",IF(G44=0,1,MIN(F44/G44,2)),IF(G44=0,1,MAX(1-ABS(J44)/G44,0))),0)</f>
        <v>0.77325</v>
      </c>
      <c r="O44" s="26" t="n">
        <v>41</v>
      </c>
    </row>
    <row r="45" customFormat="false" ht="18.75" hidden="false" customHeight="true" outlineLevel="0" collapsed="false">
      <c r="A45" s="6" t="s">
        <v>117</v>
      </c>
      <c r="B45" s="7" t="s">
        <v>118</v>
      </c>
      <c r="C45" s="8" t="s">
        <v>46</v>
      </c>
      <c r="D45" s="8" t="s">
        <v>47</v>
      </c>
      <c r="E45" s="28" t="s">
        <v>48</v>
      </c>
      <c r="F45" s="10" t="n">
        <v>8721.54</v>
      </c>
      <c r="G45" s="11" t="n">
        <v>8500</v>
      </c>
      <c r="H45" s="8" t="s">
        <v>29</v>
      </c>
      <c r="I45" s="8" t="s">
        <v>34</v>
      </c>
      <c r="J45" s="12" t="n">
        <f aca="false">IF(E45="ENTRADA",F45-G45,G45-F45)</f>
        <v>221.540000000001</v>
      </c>
      <c r="K45" s="13" t="n">
        <f aca="false">IFERROR(IF(G45=0,0,J45/G45),0)</f>
        <v>0.0260635294117648</v>
      </c>
      <c r="L45" s="14" t="n">
        <v>0</v>
      </c>
      <c r="M45" s="16" t="s">
        <v>49</v>
      </c>
      <c r="N45" s="13" t="n">
        <f aca="false">IFERROR(IF(E45="ENTRADA",IF(G45=0,1,MIN(F45/G45,2)),IF(G45=0,1,MAX(1-ABS(J45)/G45,0))),0)</f>
        <v>1.02606352941176</v>
      </c>
      <c r="O45" s="16" t="n">
        <v>33</v>
      </c>
    </row>
    <row r="46" customFormat="false" ht="18.75" hidden="false" customHeight="true" outlineLevel="0" collapsed="false">
      <c r="A46" s="17" t="s">
        <v>117</v>
      </c>
      <c r="B46" s="18" t="s">
        <v>98</v>
      </c>
      <c r="C46" s="19" t="s">
        <v>20</v>
      </c>
      <c r="D46" s="19" t="s">
        <v>99</v>
      </c>
      <c r="E46" s="20" t="s">
        <v>22</v>
      </c>
      <c r="F46" s="21" t="n">
        <v>262.06</v>
      </c>
      <c r="G46" s="11" t="n">
        <v>175</v>
      </c>
      <c r="H46" s="19" t="s">
        <v>38</v>
      </c>
      <c r="I46" s="19" t="s">
        <v>24</v>
      </c>
      <c r="J46" s="22" t="n">
        <f aca="false">IF(E46="ENTRADA",F46-G46,G46-F46)</f>
        <v>-87.06</v>
      </c>
      <c r="K46" s="23" t="n">
        <f aca="false">IFERROR(IF(G46=0,0,J46/G46),0)</f>
        <v>-0.497485714285714</v>
      </c>
      <c r="L46" s="24" t="n">
        <v>-0.125</v>
      </c>
      <c r="M46" s="25" t="s">
        <v>25</v>
      </c>
      <c r="N46" s="23" t="n">
        <f aca="false">IFERROR(IF(E46="ENTRADA",IF(G46=0,1,MIN(F46/G46,2)),IF(G46=0,1,MAX(1-ABS(J46)/G46,0))),0)</f>
        <v>0.502514285714286</v>
      </c>
      <c r="O46" s="26" t="n">
        <v>38</v>
      </c>
    </row>
    <row r="47" customFormat="false" ht="18.75" hidden="false" customHeight="true" outlineLevel="0" collapsed="false">
      <c r="A47" s="6" t="s">
        <v>119</v>
      </c>
      <c r="B47" s="7" t="s">
        <v>120</v>
      </c>
      <c r="C47" s="8" t="s">
        <v>85</v>
      </c>
      <c r="D47" s="8" t="s">
        <v>93</v>
      </c>
      <c r="E47" s="9" t="s">
        <v>22</v>
      </c>
      <c r="F47" s="10" t="n">
        <v>624.47</v>
      </c>
      <c r="G47" s="11" t="n">
        <v>625</v>
      </c>
      <c r="H47" s="8" t="s">
        <v>29</v>
      </c>
      <c r="I47" s="8" t="s">
        <v>34</v>
      </c>
      <c r="J47" s="12" t="n">
        <f aca="false">IF(E47="ENTRADA",F47-G47,G47-F47)</f>
        <v>0.529999999999973</v>
      </c>
      <c r="K47" s="13" t="n">
        <f aca="false">IFERROR(IF(G47=0,0,J47/G47),0)</f>
        <v>0.000847999999999956</v>
      </c>
      <c r="L47" s="14" t="n">
        <v>0.763</v>
      </c>
      <c r="M47" s="15" t="s">
        <v>25</v>
      </c>
      <c r="N47" s="13" t="n">
        <f aca="false">IFERROR(IF(E47="ENTRADA",IF(G47=0,1,MIN(F47/G47,2)),IF(G47=0,1,MAX(1-ABS(J47)/G47,0))),0)</f>
        <v>0.999152</v>
      </c>
      <c r="O47" s="16" t="n">
        <v>50</v>
      </c>
    </row>
    <row r="48" customFormat="false" ht="18.75" hidden="false" customHeight="true" outlineLevel="0" collapsed="false">
      <c r="A48" s="17" t="s">
        <v>121</v>
      </c>
      <c r="B48" s="18" t="s">
        <v>92</v>
      </c>
      <c r="C48" s="19" t="s">
        <v>85</v>
      </c>
      <c r="D48" s="19" t="s">
        <v>91</v>
      </c>
      <c r="E48" s="20" t="s">
        <v>22</v>
      </c>
      <c r="F48" s="21" t="n">
        <v>474.12</v>
      </c>
      <c r="G48" s="11" t="n">
        <v>625</v>
      </c>
      <c r="H48" s="19" t="s">
        <v>29</v>
      </c>
      <c r="I48" s="19" t="s">
        <v>34</v>
      </c>
      <c r="J48" s="22" t="n">
        <f aca="false">IF(E48="ENTRADA",F48-G48,G48-F48)</f>
        <v>150.88</v>
      </c>
      <c r="K48" s="23" t="n">
        <f aca="false">IFERROR(IF(G48=0,0,J48/G48),0)</f>
        <v>0.241408</v>
      </c>
      <c r="L48" s="24" t="n">
        <v>0.395</v>
      </c>
      <c r="M48" s="25" t="s">
        <v>25</v>
      </c>
      <c r="N48" s="23" t="n">
        <f aca="false">IFERROR(IF(E48="ENTRADA",IF(G48=0,1,MIN(F48/G48,2)),IF(G48=0,1,MAX(1-ABS(J48)/G48,0))),0)</f>
        <v>0.758592</v>
      </c>
      <c r="O48" s="26" t="n">
        <v>47</v>
      </c>
    </row>
    <row r="49" customFormat="false" ht="18.75" hidden="false" customHeight="true" outlineLevel="0" collapsed="false">
      <c r="A49" s="6" t="s">
        <v>122</v>
      </c>
      <c r="B49" s="7" t="s">
        <v>56</v>
      </c>
      <c r="C49" s="8" t="s">
        <v>27</v>
      </c>
      <c r="D49" s="8" t="s">
        <v>123</v>
      </c>
      <c r="E49" s="9" t="s">
        <v>22</v>
      </c>
      <c r="F49" s="10" t="n">
        <v>205.97</v>
      </c>
      <c r="G49" s="11" t="n">
        <v>240</v>
      </c>
      <c r="H49" s="8" t="s">
        <v>23</v>
      </c>
      <c r="I49" s="8" t="s">
        <v>24</v>
      </c>
      <c r="J49" s="12" t="n">
        <f aca="false">IF(E49="ENTRADA",F49-G49,G49-F49)</f>
        <v>34.03</v>
      </c>
      <c r="K49" s="13" t="n">
        <f aca="false">IFERROR(IF(G49=0,0,J49/G49),0)</f>
        <v>0.141791666666667</v>
      </c>
      <c r="L49" s="14" t="n">
        <v>-0.262</v>
      </c>
      <c r="M49" s="15" t="s">
        <v>25</v>
      </c>
      <c r="N49" s="13" t="n">
        <f aca="false">IFERROR(IF(E49="ENTRADA",IF(G49=0,1,MIN(F49/G49,2)),IF(G49=0,1,MAX(1-ABS(J49)/G49,0))),0)</f>
        <v>0.858208333333333</v>
      </c>
      <c r="O49" s="16" t="n">
        <v>40</v>
      </c>
    </row>
    <row r="50" customFormat="false" ht="18.75" hidden="false" customHeight="true" outlineLevel="0" collapsed="false">
      <c r="A50" s="17" t="s">
        <v>122</v>
      </c>
      <c r="B50" s="18" t="s">
        <v>101</v>
      </c>
      <c r="C50" s="19" t="s">
        <v>85</v>
      </c>
      <c r="D50" s="19" t="s">
        <v>86</v>
      </c>
      <c r="E50" s="20" t="s">
        <v>22</v>
      </c>
      <c r="F50" s="21" t="n">
        <v>321.9</v>
      </c>
      <c r="G50" s="11" t="n">
        <v>625</v>
      </c>
      <c r="H50" s="19" t="s">
        <v>38</v>
      </c>
      <c r="I50" s="19" t="s">
        <v>34</v>
      </c>
      <c r="J50" s="22" t="n">
        <f aca="false">IF(E50="ENTRADA",F50-G50,G50-F50)</f>
        <v>303.1</v>
      </c>
      <c r="K50" s="23" t="n">
        <f aca="false">IFERROR(IF(G50=0,0,J50/G50),0)</f>
        <v>0.48496</v>
      </c>
      <c r="L50" s="24" t="n">
        <v>0.022</v>
      </c>
      <c r="M50" s="25" t="s">
        <v>25</v>
      </c>
      <c r="N50" s="23" t="n">
        <f aca="false">IFERROR(IF(E50="ENTRADA",IF(G50=0,1,MIN(F50/G50,2)),IF(G50=0,1,MAX(1-ABS(J50)/G50,0))),0)</f>
        <v>0.51504</v>
      </c>
      <c r="O50" s="26" t="n">
        <v>49</v>
      </c>
    </row>
    <row r="51" customFormat="false" ht="18.75" hidden="false" customHeight="true" outlineLevel="0" collapsed="false">
      <c r="A51" s="6" t="s">
        <v>124</v>
      </c>
      <c r="B51" s="7" t="s">
        <v>75</v>
      </c>
      <c r="C51" s="8" t="s">
        <v>76</v>
      </c>
      <c r="D51" s="8" t="s">
        <v>125</v>
      </c>
      <c r="E51" s="9" t="s">
        <v>22</v>
      </c>
      <c r="F51" s="10" t="n">
        <v>216.59</v>
      </c>
      <c r="G51" s="11" t="n">
        <v>150</v>
      </c>
      <c r="H51" s="8" t="s">
        <v>29</v>
      </c>
      <c r="I51" s="8" t="s">
        <v>34</v>
      </c>
      <c r="J51" s="12" t="n">
        <f aca="false">IF(E51="ENTRADA",F51-G51,G51-F51)</f>
        <v>-66.59</v>
      </c>
      <c r="K51" s="13" t="n">
        <f aca="false">IFERROR(IF(G51=0,0,J51/G51),0)</f>
        <v>-0.443933333333333</v>
      </c>
      <c r="L51" s="14" t="n">
        <v>-0.236</v>
      </c>
      <c r="M51" s="15" t="s">
        <v>25</v>
      </c>
      <c r="N51" s="13" t="n">
        <f aca="false">IFERROR(IF(E51="ENTRADA",IF(G51=0,1,MIN(F51/G51,2)),IF(G51=0,1,MAX(1-ABS(J51)/G51,0))),0)</f>
        <v>0.556066666666667</v>
      </c>
      <c r="O51" s="16" t="n">
        <v>51</v>
      </c>
    </row>
    <row r="52" customFormat="false" ht="18.75" hidden="false" customHeight="true" outlineLevel="0" collapsed="false">
      <c r="A52" s="17" t="s">
        <v>126</v>
      </c>
      <c r="B52" s="18" t="s">
        <v>127</v>
      </c>
      <c r="C52" s="19" t="s">
        <v>52</v>
      </c>
      <c r="D52" s="19" t="s">
        <v>89</v>
      </c>
      <c r="E52" s="20" t="s">
        <v>22</v>
      </c>
      <c r="F52" s="21" t="n">
        <v>382.32</v>
      </c>
      <c r="G52" s="11" t="n">
        <v>450</v>
      </c>
      <c r="H52" s="19" t="s">
        <v>33</v>
      </c>
      <c r="I52" s="19" t="s">
        <v>24</v>
      </c>
      <c r="J52" s="22" t="n">
        <f aca="false">IF(E52="ENTRADA",F52-G52,G52-F52)</f>
        <v>67.68</v>
      </c>
      <c r="K52" s="23" t="n">
        <f aca="false">IFERROR(IF(G52=0,0,J52/G52),0)</f>
        <v>0.1504</v>
      </c>
      <c r="L52" s="24" t="n">
        <v>0.17</v>
      </c>
      <c r="M52" s="25" t="s">
        <v>25</v>
      </c>
      <c r="N52" s="23" t="n">
        <f aca="false">IFERROR(IF(E52="ENTRADA",IF(G52=0,1,MIN(F52/G52,2)),IF(G52=0,1,MAX(1-ABS(J52)/G52,0))),0)</f>
        <v>0.8496</v>
      </c>
      <c r="O52" s="26" t="n">
        <v>35</v>
      </c>
    </row>
    <row r="53" customFormat="false" ht="18.75" hidden="false" customHeight="true" outlineLevel="0" collapsed="false">
      <c r="A53" s="6" t="s">
        <v>128</v>
      </c>
      <c r="B53" s="7" t="s">
        <v>19</v>
      </c>
      <c r="C53" s="8" t="s">
        <v>20</v>
      </c>
      <c r="D53" s="8" t="s">
        <v>129</v>
      </c>
      <c r="E53" s="9" t="s">
        <v>22</v>
      </c>
      <c r="F53" s="10" t="n">
        <v>111.92</v>
      </c>
      <c r="G53" s="11" t="n">
        <v>175</v>
      </c>
      <c r="H53" s="8" t="s">
        <v>38</v>
      </c>
      <c r="I53" s="8" t="s">
        <v>34</v>
      </c>
      <c r="J53" s="12" t="n">
        <f aca="false">IF(E53="ENTRADA",F53-G53,G53-F53)</f>
        <v>63.08</v>
      </c>
      <c r="K53" s="13" t="n">
        <f aca="false">IFERROR(IF(G53=0,0,J53/G53),0)</f>
        <v>0.360457142857143</v>
      </c>
      <c r="L53" s="14" t="n">
        <v>-0.492</v>
      </c>
      <c r="M53" s="15" t="s">
        <v>25</v>
      </c>
      <c r="N53" s="13" t="n">
        <f aca="false">IFERROR(IF(E53="ENTRADA",IF(G53=0,1,MIN(F53/G53,2)),IF(G53=0,1,MAX(1-ABS(J53)/G53,0))),0)</f>
        <v>0.639542857142857</v>
      </c>
      <c r="O53" s="16" t="n">
        <v>39</v>
      </c>
    </row>
    <row r="54" customFormat="false" ht="18.75" hidden="false" customHeight="true" outlineLevel="0" collapsed="false">
      <c r="A54" s="17" t="s">
        <v>130</v>
      </c>
      <c r="B54" s="18" t="s">
        <v>131</v>
      </c>
      <c r="C54" s="19" t="s">
        <v>52</v>
      </c>
      <c r="D54" s="19" t="s">
        <v>89</v>
      </c>
      <c r="E54" s="20" t="s">
        <v>22</v>
      </c>
      <c r="F54" s="21" t="n">
        <v>405.7</v>
      </c>
      <c r="G54" s="11" t="n">
        <v>450</v>
      </c>
      <c r="H54" s="19" t="s">
        <v>23</v>
      </c>
      <c r="I54" s="19" t="s">
        <v>24</v>
      </c>
      <c r="J54" s="22" t="n">
        <f aca="false">IF(E54="ENTRADA",F54-G54,G54-F54)</f>
        <v>44.3</v>
      </c>
      <c r="K54" s="23" t="n">
        <f aca="false">IFERROR(IF(G54=0,0,J54/G54),0)</f>
        <v>0.0984444444444445</v>
      </c>
      <c r="L54" s="24" t="n">
        <v>0.227</v>
      </c>
      <c r="M54" s="25" t="s">
        <v>25</v>
      </c>
      <c r="N54" s="23" t="n">
        <f aca="false">IFERROR(IF(E54="ENTRADA",IF(G54=0,1,MIN(F54/G54,2)),IF(G54=0,1,MAX(1-ABS(J54)/G54,0))),0)</f>
        <v>0.901555555555556</v>
      </c>
      <c r="O54" s="26" t="n">
        <v>34</v>
      </c>
    </row>
    <row r="55" customFormat="false" ht="18.75" hidden="false" customHeight="true" outlineLevel="0" collapsed="false">
      <c r="A55" s="6" t="s">
        <v>130</v>
      </c>
      <c r="B55" s="7" t="s">
        <v>70</v>
      </c>
      <c r="C55" s="8" t="s">
        <v>36</v>
      </c>
      <c r="D55" s="8" t="s">
        <v>62</v>
      </c>
      <c r="E55" s="9" t="s">
        <v>22</v>
      </c>
      <c r="F55" s="10" t="n">
        <v>109.81</v>
      </c>
      <c r="G55" s="11" t="n">
        <v>133.33</v>
      </c>
      <c r="H55" s="8" t="s">
        <v>38</v>
      </c>
      <c r="I55" s="8" t="s">
        <v>24</v>
      </c>
      <c r="J55" s="12" t="n">
        <f aca="false">IF(E55="ENTRADA",F55-G55,G55-F55)</f>
        <v>23.52</v>
      </c>
      <c r="K55" s="13" t="n">
        <f aca="false">IFERROR(IF(G55=0,0,J55/G55),0)</f>
        <v>0.176404410110253</v>
      </c>
      <c r="L55" s="14" t="n">
        <v>-0.497</v>
      </c>
      <c r="M55" s="15" t="s">
        <v>25</v>
      </c>
      <c r="N55" s="13" t="n">
        <f aca="false">IFERROR(IF(E55="ENTRADA",IF(G55=0,1,MIN(F55/G55,2)),IF(G55=0,1,MAX(1-ABS(J55)/G55,0))),0)</f>
        <v>0.823595589889747</v>
      </c>
      <c r="O55" s="16" t="n">
        <v>45</v>
      </c>
    </row>
    <row r="56" customFormat="false" ht="18.75" hidden="false" customHeight="true" outlineLevel="0" collapsed="false">
      <c r="A56" s="17" t="s">
        <v>132</v>
      </c>
      <c r="B56" s="18" t="s">
        <v>73</v>
      </c>
      <c r="C56" s="19" t="s">
        <v>36</v>
      </c>
      <c r="D56" s="19" t="s">
        <v>71</v>
      </c>
      <c r="E56" s="20" t="s">
        <v>22</v>
      </c>
      <c r="F56" s="21" t="n">
        <v>129.11</v>
      </c>
      <c r="G56" s="11" t="n">
        <v>133.33</v>
      </c>
      <c r="H56" s="19" t="s">
        <v>43</v>
      </c>
      <c r="I56" s="19" t="s">
        <v>34</v>
      </c>
      <c r="J56" s="22" t="n">
        <f aca="false">IF(E56="ENTRADA",F56-G56,G56-F56)</f>
        <v>4.22</v>
      </c>
      <c r="K56" s="23" t="n">
        <f aca="false">IFERROR(IF(G56=0,0,J56/G56),0)</f>
        <v>0.0316507912697817</v>
      </c>
      <c r="L56" s="24" t="n">
        <v>-0.45</v>
      </c>
      <c r="M56" s="25" t="s">
        <v>25</v>
      </c>
      <c r="N56" s="23" t="n">
        <f aca="false">IFERROR(IF(E56="ENTRADA",IF(G56=0,1,MIN(F56/G56,2)),IF(G56=0,1,MAX(1-ABS(J56)/G56,0))),0)</f>
        <v>0.968349208730218</v>
      </c>
      <c r="O56" s="26" t="n">
        <v>46</v>
      </c>
    </row>
    <row r="57" customFormat="false" ht="18.75" hidden="false" customHeight="true" outlineLevel="0" collapsed="false">
      <c r="A57" s="6" t="s">
        <v>133</v>
      </c>
      <c r="B57" s="7" t="s">
        <v>84</v>
      </c>
      <c r="C57" s="8" t="s">
        <v>85</v>
      </c>
      <c r="D57" s="8" t="s">
        <v>86</v>
      </c>
      <c r="E57" s="9" t="s">
        <v>22</v>
      </c>
      <c r="F57" s="10" t="n">
        <v>335.44</v>
      </c>
      <c r="G57" s="11" t="n">
        <v>625</v>
      </c>
      <c r="H57" s="8" t="s">
        <v>43</v>
      </c>
      <c r="I57" s="8" t="s">
        <v>34</v>
      </c>
      <c r="J57" s="12" t="n">
        <f aca="false">IF(E57="ENTRADA",F57-G57,G57-F57)</f>
        <v>289.56</v>
      </c>
      <c r="K57" s="13" t="n">
        <f aca="false">IFERROR(IF(G57=0,0,J57/G57),0)</f>
        <v>0.463296</v>
      </c>
      <c r="L57" s="14" t="n">
        <v>0.055</v>
      </c>
      <c r="M57" s="15" t="s">
        <v>25</v>
      </c>
      <c r="N57" s="13" t="n">
        <f aca="false">IFERROR(IF(E57="ENTRADA",IF(G57=0,1,MIN(F57/G57,2)),IF(G57=0,1,MAX(1-ABS(J57)/G57,0))),0)</f>
        <v>0.536704</v>
      </c>
      <c r="O57" s="16" t="n">
        <v>48</v>
      </c>
    </row>
    <row r="58" customFormat="false" ht="18.75" hidden="false" customHeight="true" outlineLevel="0" collapsed="false">
      <c r="A58" s="17" t="s">
        <v>133</v>
      </c>
      <c r="B58" s="18" t="s">
        <v>134</v>
      </c>
      <c r="C58" s="19" t="s">
        <v>76</v>
      </c>
      <c r="D58" s="19" t="s">
        <v>77</v>
      </c>
      <c r="E58" s="20" t="s">
        <v>22</v>
      </c>
      <c r="F58" s="21" t="n">
        <v>288.02</v>
      </c>
      <c r="G58" s="11" t="n">
        <v>150</v>
      </c>
      <c r="H58" s="19" t="s">
        <v>23</v>
      </c>
      <c r="I58" s="19" t="s">
        <v>34</v>
      </c>
      <c r="J58" s="22" t="n">
        <f aca="false">IF(E58="ENTRADA",F58-G58,G58-F58)</f>
        <v>-138.02</v>
      </c>
      <c r="K58" s="23" t="n">
        <f aca="false">IFERROR(IF(G58=0,0,J58/G58),0)</f>
        <v>-0.920133333333333</v>
      </c>
      <c r="L58" s="24" t="n">
        <v>-0.061</v>
      </c>
      <c r="M58" s="25" t="s">
        <v>25</v>
      </c>
      <c r="N58" s="23" t="n">
        <f aca="false">IFERROR(IF(E58="ENTRADA",IF(G58=0,1,MIN(F58/G58,2)),IF(G58=0,1,MAX(1-ABS(J58)/G58,0))),0)</f>
        <v>0.0798666666666668</v>
      </c>
      <c r="O58" s="26" t="n">
        <v>52</v>
      </c>
    </row>
    <row r="59" customFormat="false" ht="18.75" hidden="false" customHeight="true" outlineLevel="0" collapsed="false">
      <c r="A59" s="6" t="s">
        <v>135</v>
      </c>
      <c r="B59" s="7" t="s">
        <v>51</v>
      </c>
      <c r="C59" s="8" t="s">
        <v>52</v>
      </c>
      <c r="D59" s="8" t="s">
        <v>136</v>
      </c>
      <c r="E59" s="9" t="s">
        <v>22</v>
      </c>
      <c r="F59" s="10" t="n">
        <v>146.92</v>
      </c>
      <c r="G59" s="11" t="n">
        <v>180</v>
      </c>
      <c r="H59" s="8" t="s">
        <v>43</v>
      </c>
      <c r="I59" s="8" t="s">
        <v>24</v>
      </c>
      <c r="J59" s="12" t="n">
        <f aca="false">IF(E59="ENTRADA",F59-G59,G59-F59)</f>
        <v>33.08</v>
      </c>
      <c r="K59" s="13" t="n">
        <f aca="false">IFERROR(IF(G59=0,0,J59/G59),0)</f>
        <v>0.183777777777778</v>
      </c>
      <c r="L59" s="14" t="n">
        <v>-0.407</v>
      </c>
      <c r="M59" s="15" t="s">
        <v>25</v>
      </c>
      <c r="N59" s="13" t="n">
        <f aca="false">IFERROR(IF(E59="ENTRADA",IF(G59=0,1,MIN(F59/G59,2)),IF(G59=0,1,MAX(1-ABS(J59)/G59,0))),0)</f>
        <v>0.816222222222222</v>
      </c>
      <c r="O59" s="16" t="n">
        <v>56</v>
      </c>
    </row>
    <row r="60" customFormat="false" ht="18.75" hidden="false" customHeight="true" outlineLevel="0" collapsed="false">
      <c r="A60" s="17" t="s">
        <v>135</v>
      </c>
      <c r="B60" s="18" t="s">
        <v>40</v>
      </c>
      <c r="C60" s="19" t="s">
        <v>41</v>
      </c>
      <c r="D60" s="19" t="s">
        <v>111</v>
      </c>
      <c r="E60" s="20" t="s">
        <v>22</v>
      </c>
      <c r="F60" s="21" t="n">
        <v>432.53</v>
      </c>
      <c r="G60" s="11" t="n">
        <v>470</v>
      </c>
      <c r="H60" s="19" t="s">
        <v>29</v>
      </c>
      <c r="I60" s="19" t="s">
        <v>34</v>
      </c>
      <c r="J60" s="22" t="n">
        <f aca="false">IF(E60="ENTRADA",F60-G60,G60-F60)</f>
        <v>37.47</v>
      </c>
      <c r="K60" s="23" t="n">
        <f aca="false">IFERROR(IF(G60=0,0,J60/G60),0)</f>
        <v>0.0797234042553192</v>
      </c>
      <c r="L60" s="24" t="n">
        <v>0.293</v>
      </c>
      <c r="M60" s="25" t="s">
        <v>25</v>
      </c>
      <c r="N60" s="23" t="n">
        <f aca="false">IFERROR(IF(E60="ENTRADA",IF(G60=0,1,MIN(F60/G60,2)),IF(G60=0,1,MAX(1-ABS(J60)/G60,0))),0)</f>
        <v>0.920276595744681</v>
      </c>
      <c r="O60" s="26" t="n">
        <v>60</v>
      </c>
    </row>
    <row r="61" customFormat="false" ht="18.75" hidden="false" customHeight="true" outlineLevel="0" collapsed="false">
      <c r="A61" s="6" t="s">
        <v>135</v>
      </c>
      <c r="B61" s="7" t="s">
        <v>35</v>
      </c>
      <c r="C61" s="8" t="s">
        <v>36</v>
      </c>
      <c r="D61" s="8" t="s">
        <v>115</v>
      </c>
      <c r="E61" s="9" t="s">
        <v>22</v>
      </c>
      <c r="F61" s="10" t="n">
        <v>66.4</v>
      </c>
      <c r="G61" s="11" t="n">
        <v>80</v>
      </c>
      <c r="H61" s="8" t="s">
        <v>38</v>
      </c>
      <c r="I61" s="8" t="s">
        <v>24</v>
      </c>
      <c r="J61" s="12" t="n">
        <f aca="false">IF(E61="ENTRADA",F61-G61,G61-F61)</f>
        <v>13.6</v>
      </c>
      <c r="K61" s="13" t="n">
        <f aca="false">IFERROR(IF(G61=0,0,J61/G61),0)</f>
        <v>0.17</v>
      </c>
      <c r="L61" s="14" t="n">
        <v>-0.604</v>
      </c>
      <c r="M61" s="15" t="s">
        <v>25</v>
      </c>
      <c r="N61" s="13" t="n">
        <f aca="false">IFERROR(IF(E61="ENTRADA",IF(G61=0,1,MIN(F61/G61,2)),IF(G61=0,1,MAX(1-ABS(J61)/G61,0))),0)</f>
        <v>0.83</v>
      </c>
      <c r="O61" s="16" t="n">
        <v>76</v>
      </c>
    </row>
    <row r="62" customFormat="false" ht="18.75" hidden="false" customHeight="true" outlineLevel="0" collapsed="false">
      <c r="A62" s="17" t="s">
        <v>137</v>
      </c>
      <c r="B62" s="18" t="s">
        <v>138</v>
      </c>
      <c r="C62" s="19" t="s">
        <v>27</v>
      </c>
      <c r="D62" s="19" t="s">
        <v>109</v>
      </c>
      <c r="E62" s="20" t="s">
        <v>22</v>
      </c>
      <c r="F62" s="21" t="n">
        <v>86.69</v>
      </c>
      <c r="G62" s="11" t="n">
        <v>144</v>
      </c>
      <c r="H62" s="19" t="s">
        <v>23</v>
      </c>
      <c r="I62" s="19" t="s">
        <v>24</v>
      </c>
      <c r="J62" s="22" t="n">
        <f aca="false">IF(E62="ENTRADA",F62-G62,G62-F62)</f>
        <v>57.31</v>
      </c>
      <c r="K62" s="23" t="n">
        <f aca="false">IFERROR(IF(G62=0,0,J62/G62),0)</f>
        <v>0.397986111111111</v>
      </c>
      <c r="L62" s="24" t="n">
        <v>-0.554</v>
      </c>
      <c r="M62" s="25" t="s">
        <v>25</v>
      </c>
      <c r="N62" s="23" t="n">
        <f aca="false">IFERROR(IF(E62="ENTRADA",IF(G62=0,1,MIN(F62/G62,2)),IF(G62=0,1,MAX(1-ABS(J62)/G62,0))),0)</f>
        <v>0.602013888888889</v>
      </c>
      <c r="O62" s="26" t="n">
        <v>65</v>
      </c>
    </row>
    <row r="63" customFormat="false" ht="18.75" hidden="false" customHeight="true" outlineLevel="0" collapsed="false">
      <c r="A63" s="6" t="s">
        <v>137</v>
      </c>
      <c r="B63" s="7" t="s">
        <v>108</v>
      </c>
      <c r="C63" s="8" t="s">
        <v>27</v>
      </c>
      <c r="D63" s="8" t="s">
        <v>80</v>
      </c>
      <c r="E63" s="9" t="s">
        <v>22</v>
      </c>
      <c r="F63" s="10" t="n">
        <v>96.26</v>
      </c>
      <c r="G63" s="11" t="n">
        <v>144</v>
      </c>
      <c r="H63" s="8" t="s">
        <v>23</v>
      </c>
      <c r="I63" s="8" t="s">
        <v>24</v>
      </c>
      <c r="J63" s="12" t="n">
        <f aca="false">IF(E63="ENTRADA",F63-G63,G63-F63)</f>
        <v>47.74</v>
      </c>
      <c r="K63" s="13" t="n">
        <f aca="false">IFERROR(IF(G63=0,0,J63/G63),0)</f>
        <v>0.331527777777778</v>
      </c>
      <c r="L63" s="14" t="n">
        <v>-0.531</v>
      </c>
      <c r="M63" s="15" t="s">
        <v>25</v>
      </c>
      <c r="N63" s="13" t="n">
        <f aca="false">IFERROR(IF(E63="ENTRADA",IF(G63=0,1,MIN(F63/G63,2)),IF(G63=0,1,MAX(1-ABS(J63)/G63,0))),0)</f>
        <v>0.668472222222222</v>
      </c>
      <c r="O63" s="16" t="n">
        <v>69</v>
      </c>
    </row>
    <row r="64" customFormat="false" ht="18.75" hidden="false" customHeight="true" outlineLevel="0" collapsed="false">
      <c r="A64" s="17" t="s">
        <v>139</v>
      </c>
      <c r="B64" s="18" t="s">
        <v>70</v>
      </c>
      <c r="C64" s="19" t="s">
        <v>36</v>
      </c>
      <c r="D64" s="19" t="s">
        <v>115</v>
      </c>
      <c r="E64" s="20" t="s">
        <v>22</v>
      </c>
      <c r="F64" s="21" t="n">
        <v>54.33</v>
      </c>
      <c r="G64" s="11" t="n">
        <v>80</v>
      </c>
      <c r="H64" s="19" t="s">
        <v>33</v>
      </c>
      <c r="I64" s="19" t="s">
        <v>34</v>
      </c>
      <c r="J64" s="22" t="n">
        <f aca="false">IF(E64="ENTRADA",F64-G64,G64-F64)</f>
        <v>25.67</v>
      </c>
      <c r="K64" s="23" t="n">
        <f aca="false">IFERROR(IF(G64=0,0,J64/G64),0)</f>
        <v>0.320875</v>
      </c>
      <c r="L64" s="24" t="n">
        <v>-0.633</v>
      </c>
      <c r="M64" s="25" t="s">
        <v>25</v>
      </c>
      <c r="N64" s="23" t="n">
        <f aca="false">IFERROR(IF(E64="ENTRADA",IF(G64=0,1,MIN(F64/G64,2)),IF(G64=0,1,MAX(1-ABS(J64)/G64,0))),0)</f>
        <v>0.679125</v>
      </c>
      <c r="O64" s="26" t="n">
        <v>73</v>
      </c>
    </row>
    <row r="65" customFormat="false" ht="18.75" hidden="false" customHeight="true" outlineLevel="0" collapsed="false">
      <c r="A65" s="6" t="s">
        <v>140</v>
      </c>
      <c r="B65" s="7" t="s">
        <v>141</v>
      </c>
      <c r="C65" s="8" t="s">
        <v>46</v>
      </c>
      <c r="D65" s="8" t="s">
        <v>47</v>
      </c>
      <c r="E65" s="28" t="s">
        <v>48</v>
      </c>
      <c r="F65" s="10" t="n">
        <v>8608.49</v>
      </c>
      <c r="G65" s="11" t="n">
        <v>8500</v>
      </c>
      <c r="H65" s="8" t="s">
        <v>29</v>
      </c>
      <c r="I65" s="8" t="s">
        <v>34</v>
      </c>
      <c r="J65" s="12" t="n">
        <f aca="false">IF(E65="ENTRADA",F65-G65,G65-F65)</f>
        <v>108.49</v>
      </c>
      <c r="K65" s="13" t="n">
        <f aca="false">IFERROR(IF(G65=0,0,J65/G65),0)</f>
        <v>0.0127635294117647</v>
      </c>
      <c r="L65" s="14" t="n">
        <v>0</v>
      </c>
      <c r="M65" s="16" t="s">
        <v>49</v>
      </c>
      <c r="N65" s="13" t="n">
        <f aca="false">IFERROR(IF(E65="ENTRADA",IF(G65=0,1,MIN(F65/G65,2)),IF(G65=0,1,MAX(1-ABS(J65)/G65,0))),0)</f>
        <v>1.01276352941176</v>
      </c>
      <c r="O65" s="16" t="n">
        <v>53</v>
      </c>
    </row>
    <row r="66" customFormat="false" ht="18.75" hidden="false" customHeight="true" outlineLevel="0" collapsed="false">
      <c r="A66" s="17" t="s">
        <v>140</v>
      </c>
      <c r="B66" s="18" t="s">
        <v>51</v>
      </c>
      <c r="C66" s="19" t="s">
        <v>52</v>
      </c>
      <c r="D66" s="19" t="s">
        <v>142</v>
      </c>
      <c r="E66" s="20" t="s">
        <v>22</v>
      </c>
      <c r="F66" s="21" t="n">
        <v>31.79</v>
      </c>
      <c r="G66" s="11" t="n">
        <v>180</v>
      </c>
      <c r="H66" s="19" t="s">
        <v>38</v>
      </c>
      <c r="I66" s="19" t="s">
        <v>34</v>
      </c>
      <c r="J66" s="22" t="n">
        <f aca="false">IF(E66="ENTRADA",F66-G66,G66-F66)</f>
        <v>148.21</v>
      </c>
      <c r="K66" s="23" t="n">
        <f aca="false">IFERROR(IF(G66=0,0,J66/G66),0)</f>
        <v>0.823388888888889</v>
      </c>
      <c r="L66" s="24" t="n">
        <v>-0.688</v>
      </c>
      <c r="M66" s="25" t="s">
        <v>25</v>
      </c>
      <c r="N66" s="23" t="n">
        <f aca="false">IFERROR(IF(E66="ENTRADA",IF(G66=0,1,MIN(F66/G66,2)),IF(G66=0,1,MAX(1-ABS(J66)/G66,0))),0)</f>
        <v>0.176611111111111</v>
      </c>
      <c r="O66" s="26" t="n">
        <v>58</v>
      </c>
    </row>
    <row r="67" customFormat="false" ht="18.75" hidden="false" customHeight="true" outlineLevel="0" collapsed="false">
      <c r="A67" s="6" t="s">
        <v>143</v>
      </c>
      <c r="B67" s="7" t="s">
        <v>144</v>
      </c>
      <c r="C67" s="8" t="s">
        <v>31</v>
      </c>
      <c r="D67" s="8" t="s">
        <v>32</v>
      </c>
      <c r="E67" s="9" t="s">
        <v>22</v>
      </c>
      <c r="F67" s="10" t="n">
        <v>233.16</v>
      </c>
      <c r="G67" s="11" t="n">
        <v>140</v>
      </c>
      <c r="H67" s="8" t="s">
        <v>33</v>
      </c>
      <c r="I67" s="8" t="s">
        <v>34</v>
      </c>
      <c r="J67" s="12" t="n">
        <f aca="false">IF(E67="ENTRADA",F67-G67,G67-F67)</f>
        <v>-93.16</v>
      </c>
      <c r="K67" s="13" t="n">
        <f aca="false">IFERROR(IF(G67=0,0,J67/G67),0)</f>
        <v>-0.665428571428571</v>
      </c>
      <c r="L67" s="14" t="n">
        <v>-0.195</v>
      </c>
      <c r="M67" s="15" t="s">
        <v>25</v>
      </c>
      <c r="N67" s="13" t="n">
        <f aca="false">IFERROR(IF(E67="ENTRADA",IF(G67=0,1,MIN(F67/G67,2)),IF(G67=0,1,MAX(1-ABS(J67)/G67,0))),0)</f>
        <v>0.334571428571429</v>
      </c>
      <c r="O67" s="16" t="n">
        <v>71</v>
      </c>
    </row>
    <row r="68" customFormat="false" ht="18.75" hidden="false" customHeight="true" outlineLevel="0" collapsed="false">
      <c r="A68" s="17" t="s">
        <v>145</v>
      </c>
      <c r="B68" s="18" t="s">
        <v>88</v>
      </c>
      <c r="C68" s="19" t="s">
        <v>52</v>
      </c>
      <c r="D68" s="19" t="s">
        <v>142</v>
      </c>
      <c r="E68" s="20" t="s">
        <v>22</v>
      </c>
      <c r="F68" s="21" t="n">
        <v>218.23</v>
      </c>
      <c r="G68" s="11" t="n">
        <v>180</v>
      </c>
      <c r="H68" s="19" t="s">
        <v>29</v>
      </c>
      <c r="I68" s="19" t="s">
        <v>24</v>
      </c>
      <c r="J68" s="22" t="n">
        <f aca="false">IF(E68="ENTRADA",F68-G68,G68-F68)</f>
        <v>-38.23</v>
      </c>
      <c r="K68" s="23" t="n">
        <f aca="false">IFERROR(IF(G68=0,0,J68/G68),0)</f>
        <v>-0.212388888888889</v>
      </c>
      <c r="L68" s="24" t="n">
        <v>-0.232</v>
      </c>
      <c r="M68" s="25" t="s">
        <v>25</v>
      </c>
      <c r="N68" s="23" t="n">
        <f aca="false">IFERROR(IF(E68="ENTRADA",IF(G68=0,1,MIN(F68/G68,2)),IF(G68=0,1,MAX(1-ABS(J68)/G68,0))),0)</f>
        <v>0.787611111111111</v>
      </c>
      <c r="O68" s="26" t="n">
        <v>57</v>
      </c>
    </row>
    <row r="69" customFormat="false" ht="18.75" hidden="false" customHeight="true" outlineLevel="0" collapsed="false">
      <c r="A69" s="6" t="s">
        <v>145</v>
      </c>
      <c r="B69" s="7" t="s">
        <v>26</v>
      </c>
      <c r="C69" s="8" t="s">
        <v>27</v>
      </c>
      <c r="D69" s="8" t="s">
        <v>146</v>
      </c>
      <c r="E69" s="9" t="s">
        <v>22</v>
      </c>
      <c r="F69" s="10" t="n">
        <v>97.22</v>
      </c>
      <c r="G69" s="11" t="n">
        <v>144</v>
      </c>
      <c r="H69" s="8" t="s">
        <v>38</v>
      </c>
      <c r="I69" s="8" t="s">
        <v>24</v>
      </c>
      <c r="J69" s="12" t="n">
        <f aca="false">IF(E69="ENTRADA",F69-G69,G69-F69)</f>
        <v>46.78</v>
      </c>
      <c r="K69" s="13" t="n">
        <f aca="false">IFERROR(IF(G69=0,0,J69/G69),0)</f>
        <v>0.324861111111111</v>
      </c>
      <c r="L69" s="14" t="n">
        <v>-0.528</v>
      </c>
      <c r="M69" s="15" t="s">
        <v>25</v>
      </c>
      <c r="N69" s="13" t="n">
        <f aca="false">IFERROR(IF(E69="ENTRADA",IF(G69=0,1,MIN(F69/G69,2)),IF(G69=0,1,MAX(1-ABS(J69)/G69,0))),0)</f>
        <v>0.675138888888889</v>
      </c>
      <c r="O69" s="16" t="n">
        <v>66</v>
      </c>
    </row>
    <row r="70" customFormat="false" ht="18.75" hidden="false" customHeight="true" outlineLevel="0" collapsed="false">
      <c r="A70" s="17" t="s">
        <v>145</v>
      </c>
      <c r="B70" s="18" t="s">
        <v>35</v>
      </c>
      <c r="C70" s="19" t="s">
        <v>36</v>
      </c>
      <c r="D70" s="19" t="s">
        <v>37</v>
      </c>
      <c r="E70" s="20" t="s">
        <v>22</v>
      </c>
      <c r="F70" s="21" t="n">
        <v>67.05</v>
      </c>
      <c r="G70" s="11" t="n">
        <v>80</v>
      </c>
      <c r="H70" s="19" t="s">
        <v>29</v>
      </c>
      <c r="I70" s="19" t="s">
        <v>24</v>
      </c>
      <c r="J70" s="22" t="n">
        <f aca="false">IF(E70="ENTRADA",F70-G70,G70-F70)</f>
        <v>12.95</v>
      </c>
      <c r="K70" s="23" t="n">
        <f aca="false">IFERROR(IF(G70=0,0,J70/G70),0)</f>
        <v>0.161875</v>
      </c>
      <c r="L70" s="24" t="n">
        <v>-0.602</v>
      </c>
      <c r="M70" s="25" t="s">
        <v>25</v>
      </c>
      <c r="N70" s="23" t="n">
        <f aca="false">IFERROR(IF(E70="ENTRADA",IF(G70=0,1,MIN(F70/G70,2)),IF(G70=0,1,MAX(1-ABS(J70)/G70,0))),0)</f>
        <v>0.838125</v>
      </c>
      <c r="O70" s="26" t="n">
        <v>75</v>
      </c>
    </row>
    <row r="71" customFormat="false" ht="18.75" hidden="false" customHeight="true" outlineLevel="0" collapsed="false">
      <c r="A71" s="6" t="s">
        <v>147</v>
      </c>
      <c r="B71" s="7" t="s">
        <v>35</v>
      </c>
      <c r="C71" s="8" t="s">
        <v>36</v>
      </c>
      <c r="D71" s="8" t="s">
        <v>71</v>
      </c>
      <c r="E71" s="9" t="s">
        <v>22</v>
      </c>
      <c r="F71" s="10" t="n">
        <v>55.52</v>
      </c>
      <c r="G71" s="11" t="n">
        <v>80</v>
      </c>
      <c r="H71" s="8" t="s">
        <v>33</v>
      </c>
      <c r="I71" s="8" t="s">
        <v>34</v>
      </c>
      <c r="J71" s="12" t="n">
        <f aca="false">IF(E71="ENTRADA",F71-G71,G71-F71)</f>
        <v>24.48</v>
      </c>
      <c r="K71" s="13" t="n">
        <f aca="false">IFERROR(IF(G71=0,0,J71/G71),0)</f>
        <v>0.306</v>
      </c>
      <c r="L71" s="14" t="n">
        <v>-0.63</v>
      </c>
      <c r="M71" s="15" t="s">
        <v>25</v>
      </c>
      <c r="N71" s="13" t="n">
        <f aca="false">IFERROR(IF(E71="ENTRADA",IF(G71=0,1,MIN(F71/G71,2)),IF(G71=0,1,MAX(1-ABS(J71)/G71,0))),0)</f>
        <v>0.694</v>
      </c>
      <c r="O71" s="16" t="n">
        <v>72</v>
      </c>
    </row>
    <row r="72" customFormat="false" ht="18.75" hidden="false" customHeight="true" outlineLevel="0" collapsed="false">
      <c r="A72" s="17" t="s">
        <v>148</v>
      </c>
      <c r="B72" s="18" t="s">
        <v>59</v>
      </c>
      <c r="C72" s="19" t="s">
        <v>31</v>
      </c>
      <c r="D72" s="19" t="s">
        <v>96</v>
      </c>
      <c r="E72" s="20" t="s">
        <v>22</v>
      </c>
      <c r="F72" s="21" t="n">
        <v>185.92</v>
      </c>
      <c r="G72" s="11" t="n">
        <v>140</v>
      </c>
      <c r="H72" s="19" t="s">
        <v>33</v>
      </c>
      <c r="I72" s="19" t="s">
        <v>24</v>
      </c>
      <c r="J72" s="22" t="n">
        <f aca="false">IF(E72="ENTRADA",F72-G72,G72-F72)</f>
        <v>-45.92</v>
      </c>
      <c r="K72" s="23" t="n">
        <f aca="false">IFERROR(IF(G72=0,0,J72/G72),0)</f>
        <v>-0.328</v>
      </c>
      <c r="L72" s="24" t="n">
        <v>-0.311</v>
      </c>
      <c r="M72" s="25" t="s">
        <v>25</v>
      </c>
      <c r="N72" s="23" t="n">
        <f aca="false">IFERROR(IF(E72="ENTRADA",IF(G72=0,1,MIN(F72/G72,2)),IF(G72=0,1,MAX(1-ABS(J72)/G72,0))),0)</f>
        <v>0.672</v>
      </c>
      <c r="O72" s="26" t="n">
        <v>70</v>
      </c>
    </row>
    <row r="73" customFormat="false" ht="18.75" hidden="false" customHeight="true" outlineLevel="0" collapsed="false">
      <c r="A73" s="6" t="s">
        <v>149</v>
      </c>
      <c r="B73" s="7" t="s">
        <v>26</v>
      </c>
      <c r="C73" s="8" t="s">
        <v>27</v>
      </c>
      <c r="D73" s="8" t="s">
        <v>146</v>
      </c>
      <c r="E73" s="9" t="s">
        <v>22</v>
      </c>
      <c r="F73" s="10" t="n">
        <v>145.88</v>
      </c>
      <c r="G73" s="11" t="n">
        <v>144</v>
      </c>
      <c r="H73" s="8" t="s">
        <v>29</v>
      </c>
      <c r="I73" s="8" t="s">
        <v>24</v>
      </c>
      <c r="J73" s="12" t="n">
        <f aca="false">IF(E73="ENTRADA",F73-G73,G73-F73)</f>
        <v>-1.88</v>
      </c>
      <c r="K73" s="13" t="n">
        <f aca="false">IFERROR(IF(G73=0,0,J73/G73),0)</f>
        <v>-0.0130555555555555</v>
      </c>
      <c r="L73" s="14" t="n">
        <v>-0.409</v>
      </c>
      <c r="M73" s="15" t="s">
        <v>25</v>
      </c>
      <c r="N73" s="13" t="n">
        <f aca="false">IFERROR(IF(E73="ENTRADA",IF(G73=0,1,MIN(F73/G73,2)),IF(G73=0,1,MAX(1-ABS(J73)/G73,0))),0)</f>
        <v>0.986944444444445</v>
      </c>
      <c r="O73" s="16" t="n">
        <v>67</v>
      </c>
    </row>
    <row r="74" customFormat="false" ht="18.75" hidden="false" customHeight="true" outlineLevel="0" collapsed="false">
      <c r="A74" s="17" t="s">
        <v>150</v>
      </c>
      <c r="B74" s="18" t="s">
        <v>88</v>
      </c>
      <c r="C74" s="19" t="s">
        <v>52</v>
      </c>
      <c r="D74" s="19" t="s">
        <v>136</v>
      </c>
      <c r="E74" s="20" t="s">
        <v>22</v>
      </c>
      <c r="F74" s="21" t="n">
        <v>217.04</v>
      </c>
      <c r="G74" s="11" t="n">
        <v>180</v>
      </c>
      <c r="H74" s="19" t="s">
        <v>38</v>
      </c>
      <c r="I74" s="19" t="s">
        <v>24</v>
      </c>
      <c r="J74" s="22" t="n">
        <f aca="false">IF(E74="ENTRADA",F74-G74,G74-F74)</f>
        <v>-37.04</v>
      </c>
      <c r="K74" s="23" t="n">
        <f aca="false">IFERROR(IF(G74=0,0,J74/G74),0)</f>
        <v>-0.205777777777778</v>
      </c>
      <c r="L74" s="24" t="n">
        <v>-0.235</v>
      </c>
      <c r="M74" s="25" t="s">
        <v>25</v>
      </c>
      <c r="N74" s="23" t="n">
        <f aca="false">IFERROR(IF(E74="ENTRADA",IF(G74=0,1,MIN(F74/G74,2)),IF(G74=0,1,MAX(1-ABS(J74)/G74,0))),0)</f>
        <v>0.794222222222222</v>
      </c>
      <c r="O74" s="26" t="n">
        <v>55</v>
      </c>
    </row>
    <row r="75" customFormat="false" ht="18.75" hidden="false" customHeight="true" outlineLevel="0" collapsed="false">
      <c r="A75" s="6" t="s">
        <v>150</v>
      </c>
      <c r="B75" s="7" t="s">
        <v>75</v>
      </c>
      <c r="C75" s="8" t="s">
        <v>76</v>
      </c>
      <c r="D75" s="8" t="s">
        <v>151</v>
      </c>
      <c r="E75" s="9" t="s">
        <v>22</v>
      </c>
      <c r="F75" s="10" t="n">
        <v>87.14</v>
      </c>
      <c r="G75" s="11" t="n">
        <v>150</v>
      </c>
      <c r="H75" s="8" t="s">
        <v>33</v>
      </c>
      <c r="I75" s="8" t="s">
        <v>24</v>
      </c>
      <c r="J75" s="12" t="n">
        <f aca="false">IF(E75="ENTRADA",F75-G75,G75-F75)</f>
        <v>62.86</v>
      </c>
      <c r="K75" s="13" t="n">
        <f aca="false">IFERROR(IF(G75=0,0,J75/G75),0)</f>
        <v>0.419066666666667</v>
      </c>
      <c r="L75" s="14" t="n">
        <v>-0.553</v>
      </c>
      <c r="M75" s="15" t="s">
        <v>25</v>
      </c>
      <c r="N75" s="13" t="n">
        <f aca="false">IFERROR(IF(E75="ENTRADA",IF(G75=0,1,MIN(F75/G75,2)),IF(G75=0,1,MAX(1-ABS(J75)/G75,0))),0)</f>
        <v>0.580933333333333</v>
      </c>
      <c r="O75" s="16" t="n">
        <v>80</v>
      </c>
    </row>
    <row r="76" customFormat="false" ht="18.75" hidden="false" customHeight="true" outlineLevel="0" collapsed="false">
      <c r="A76" s="17" t="s">
        <v>152</v>
      </c>
      <c r="B76" s="18" t="s">
        <v>54</v>
      </c>
      <c r="C76" s="19" t="s">
        <v>41</v>
      </c>
      <c r="D76" s="19" t="s">
        <v>65</v>
      </c>
      <c r="E76" s="20" t="s">
        <v>22</v>
      </c>
      <c r="F76" s="21" t="n">
        <v>488.23</v>
      </c>
      <c r="G76" s="11" t="n">
        <v>470</v>
      </c>
      <c r="H76" s="19" t="s">
        <v>43</v>
      </c>
      <c r="I76" s="19" t="s">
        <v>34</v>
      </c>
      <c r="J76" s="22" t="n">
        <f aca="false">IF(E76="ENTRADA",F76-G76,G76-F76)</f>
        <v>-18.23</v>
      </c>
      <c r="K76" s="23" t="n">
        <f aca="false">IFERROR(IF(G76=0,0,J76/G76),0)</f>
        <v>-0.0387872340425532</v>
      </c>
      <c r="L76" s="24" t="n">
        <v>0.429</v>
      </c>
      <c r="M76" s="25" t="s">
        <v>25</v>
      </c>
      <c r="N76" s="23" t="n">
        <f aca="false">IFERROR(IF(E76="ENTRADA",IF(G76=0,1,MIN(F76/G76,2)),IF(G76=0,1,MAX(1-ABS(J76)/G76,0))),0)</f>
        <v>0.961212765957447</v>
      </c>
      <c r="O76" s="26" t="n">
        <v>61</v>
      </c>
    </row>
    <row r="77" customFormat="false" ht="18.75" hidden="false" customHeight="true" outlineLevel="0" collapsed="false">
      <c r="A77" s="6" t="s">
        <v>152</v>
      </c>
      <c r="B77" s="7" t="s">
        <v>40</v>
      </c>
      <c r="C77" s="8" t="s">
        <v>41</v>
      </c>
      <c r="D77" s="8" t="s">
        <v>65</v>
      </c>
      <c r="E77" s="9" t="s">
        <v>22</v>
      </c>
      <c r="F77" s="10" t="n">
        <v>191.83</v>
      </c>
      <c r="G77" s="11" t="n">
        <v>470</v>
      </c>
      <c r="H77" s="8" t="s">
        <v>43</v>
      </c>
      <c r="I77" s="8" t="s">
        <v>34</v>
      </c>
      <c r="J77" s="12" t="n">
        <f aca="false">IF(E77="ENTRADA",F77-G77,G77-F77)</f>
        <v>278.17</v>
      </c>
      <c r="K77" s="13" t="n">
        <f aca="false">IFERROR(IF(G77=0,0,J77/G77),0)</f>
        <v>0.591851063829787</v>
      </c>
      <c r="L77" s="14" t="n">
        <v>-0.297</v>
      </c>
      <c r="M77" s="15" t="s">
        <v>25</v>
      </c>
      <c r="N77" s="13" t="n">
        <f aca="false">IFERROR(IF(E77="ENTRADA",IF(G77=0,1,MIN(F77/G77,2)),IF(G77=0,1,MAX(1-ABS(J77)/G77,0))),0)</f>
        <v>0.408148936170213</v>
      </c>
      <c r="O77" s="16" t="n">
        <v>62</v>
      </c>
    </row>
    <row r="78" customFormat="false" ht="18.75" hidden="false" customHeight="true" outlineLevel="0" collapsed="false">
      <c r="A78" s="17" t="s">
        <v>153</v>
      </c>
      <c r="B78" s="18" t="s">
        <v>84</v>
      </c>
      <c r="C78" s="19" t="s">
        <v>85</v>
      </c>
      <c r="D78" s="19" t="s">
        <v>86</v>
      </c>
      <c r="E78" s="20" t="s">
        <v>22</v>
      </c>
      <c r="F78" s="21" t="n">
        <v>633.52</v>
      </c>
      <c r="G78" s="11" t="n">
        <v>1250</v>
      </c>
      <c r="H78" s="19" t="s">
        <v>43</v>
      </c>
      <c r="I78" s="19" t="s">
        <v>34</v>
      </c>
      <c r="J78" s="22" t="n">
        <f aca="false">IF(E78="ENTRADA",F78-G78,G78-F78)</f>
        <v>616.48</v>
      </c>
      <c r="K78" s="23" t="n">
        <f aca="false">IFERROR(IF(G78=0,0,J78/G78),0)</f>
        <v>0.493184</v>
      </c>
      <c r="L78" s="24" t="n">
        <v>0.785</v>
      </c>
      <c r="M78" s="25" t="s">
        <v>25</v>
      </c>
      <c r="N78" s="23" t="n">
        <f aca="false">IFERROR(IF(E78="ENTRADA",IF(G78=0,1,MIN(F78/G78,2)),IF(G78=0,1,MAX(1-ABS(J78)/G78,0))),0)</f>
        <v>0.506816</v>
      </c>
      <c r="O78" s="26" t="n">
        <v>78</v>
      </c>
    </row>
    <row r="79" customFormat="false" ht="18.75" hidden="false" customHeight="true" outlineLevel="0" collapsed="false">
      <c r="A79" s="6" t="s">
        <v>153</v>
      </c>
      <c r="B79" s="7" t="s">
        <v>134</v>
      </c>
      <c r="C79" s="8" t="s">
        <v>76</v>
      </c>
      <c r="D79" s="8" t="s">
        <v>125</v>
      </c>
      <c r="E79" s="9" t="s">
        <v>22</v>
      </c>
      <c r="F79" s="10" t="n">
        <v>102.96</v>
      </c>
      <c r="G79" s="11" t="n">
        <v>150</v>
      </c>
      <c r="H79" s="8" t="s">
        <v>23</v>
      </c>
      <c r="I79" s="8" t="s">
        <v>34</v>
      </c>
      <c r="J79" s="12" t="n">
        <f aca="false">IF(E79="ENTRADA",F79-G79,G79-F79)</f>
        <v>47.04</v>
      </c>
      <c r="K79" s="13" t="n">
        <f aca="false">IFERROR(IF(G79=0,0,J79/G79),0)</f>
        <v>0.3136</v>
      </c>
      <c r="L79" s="14" t="n">
        <v>-0.514</v>
      </c>
      <c r="M79" s="15" t="s">
        <v>25</v>
      </c>
      <c r="N79" s="13" t="n">
        <f aca="false">IFERROR(IF(E79="ENTRADA",IF(G79=0,1,MIN(F79/G79,2)),IF(G79=0,1,MAX(1-ABS(J79)/G79,0))),0)</f>
        <v>0.6864</v>
      </c>
      <c r="O79" s="16" t="n">
        <v>79</v>
      </c>
    </row>
    <row r="80" customFormat="false" ht="18.75" hidden="false" customHeight="true" outlineLevel="0" collapsed="false">
      <c r="A80" s="17" t="s">
        <v>154</v>
      </c>
      <c r="B80" s="18" t="s">
        <v>155</v>
      </c>
      <c r="C80" s="19" t="s">
        <v>20</v>
      </c>
      <c r="D80" s="19" t="s">
        <v>99</v>
      </c>
      <c r="E80" s="20" t="s">
        <v>22</v>
      </c>
      <c r="F80" s="21" t="n">
        <v>594.87</v>
      </c>
      <c r="G80" s="11" t="n">
        <v>350</v>
      </c>
      <c r="H80" s="19" t="s">
        <v>23</v>
      </c>
      <c r="I80" s="19" t="s">
        <v>34</v>
      </c>
      <c r="J80" s="22" t="n">
        <f aca="false">IF(E80="ENTRADA",F80-G80,G80-F80)</f>
        <v>-244.87</v>
      </c>
      <c r="K80" s="23" t="n">
        <f aca="false">IFERROR(IF(G80=0,0,J80/G80),0)</f>
        <v>-0.699628571428572</v>
      </c>
      <c r="L80" s="24" t="n">
        <v>0.69</v>
      </c>
      <c r="M80" s="25" t="s">
        <v>25</v>
      </c>
      <c r="N80" s="23" t="n">
        <f aca="false">IFERROR(IF(E80="ENTRADA",IF(G80=0,1,MIN(F80/G80,2)),IF(G80=0,1,MAX(1-ABS(J80)/G80,0))),0)</f>
        <v>0.300371428571429</v>
      </c>
      <c r="O80" s="26" t="n">
        <v>64</v>
      </c>
    </row>
    <row r="81" customFormat="false" ht="18.75" hidden="false" customHeight="true" outlineLevel="0" collapsed="false">
      <c r="A81" s="6" t="s">
        <v>156</v>
      </c>
      <c r="B81" s="7" t="s">
        <v>40</v>
      </c>
      <c r="C81" s="8" t="s">
        <v>41</v>
      </c>
      <c r="D81" s="8" t="s">
        <v>65</v>
      </c>
      <c r="E81" s="9" t="s">
        <v>22</v>
      </c>
      <c r="F81" s="10" t="n">
        <v>443.84</v>
      </c>
      <c r="G81" s="11" t="n">
        <v>470</v>
      </c>
      <c r="H81" s="8" t="s">
        <v>29</v>
      </c>
      <c r="I81" s="8" t="s">
        <v>34</v>
      </c>
      <c r="J81" s="12" t="n">
        <f aca="false">IF(E81="ENTRADA",F81-G81,G81-F81)</f>
        <v>26.16</v>
      </c>
      <c r="K81" s="13" t="n">
        <f aca="false">IFERROR(IF(G81=0,0,J81/G81),0)</f>
        <v>0.0556595744680852</v>
      </c>
      <c r="L81" s="14" t="n">
        <v>0.32</v>
      </c>
      <c r="M81" s="15" t="s">
        <v>25</v>
      </c>
      <c r="N81" s="13" t="n">
        <f aca="false">IFERROR(IF(E81="ENTRADA",IF(G81=0,1,MIN(F81/G81,2)),IF(G81=0,1,MAX(1-ABS(J81)/G81,0))),0)</f>
        <v>0.944340425531915</v>
      </c>
      <c r="O81" s="16" t="n">
        <v>63</v>
      </c>
    </row>
    <row r="82" customFormat="false" ht="18.75" hidden="false" customHeight="true" outlineLevel="0" collapsed="false">
      <c r="A82" s="17" t="s">
        <v>157</v>
      </c>
      <c r="B82" s="18" t="s">
        <v>61</v>
      </c>
      <c r="C82" s="19" t="s">
        <v>36</v>
      </c>
      <c r="D82" s="19" t="s">
        <v>71</v>
      </c>
      <c r="E82" s="20" t="s">
        <v>22</v>
      </c>
      <c r="F82" s="21" t="n">
        <v>34.54</v>
      </c>
      <c r="G82" s="11" t="n">
        <v>80</v>
      </c>
      <c r="H82" s="19" t="s">
        <v>33</v>
      </c>
      <c r="I82" s="19" t="s">
        <v>24</v>
      </c>
      <c r="J82" s="22" t="n">
        <f aca="false">IF(E82="ENTRADA",F82-G82,G82-F82)</f>
        <v>45.46</v>
      </c>
      <c r="K82" s="23" t="n">
        <f aca="false">IFERROR(IF(G82=0,0,J82/G82),0)</f>
        <v>0.56825</v>
      </c>
      <c r="L82" s="24" t="n">
        <v>-0.682</v>
      </c>
      <c r="M82" s="25" t="s">
        <v>25</v>
      </c>
      <c r="N82" s="23" t="n">
        <f aca="false">IFERROR(IF(E82="ENTRADA",IF(G82=0,1,MIN(F82/G82,2)),IF(G82=0,1,MAX(1-ABS(J82)/G82,0))),0)</f>
        <v>0.43175</v>
      </c>
      <c r="O82" s="26" t="n">
        <v>74</v>
      </c>
    </row>
    <row r="83" customFormat="false" ht="18.75" hidden="false" customHeight="true" outlineLevel="0" collapsed="false">
      <c r="A83" s="6" t="s">
        <v>158</v>
      </c>
      <c r="B83" s="7" t="s">
        <v>54</v>
      </c>
      <c r="C83" s="8" t="s">
        <v>41</v>
      </c>
      <c r="D83" s="8" t="s">
        <v>114</v>
      </c>
      <c r="E83" s="9" t="s">
        <v>22</v>
      </c>
      <c r="F83" s="10" t="n">
        <v>487.56</v>
      </c>
      <c r="G83" s="11" t="n">
        <v>470</v>
      </c>
      <c r="H83" s="8" t="s">
        <v>33</v>
      </c>
      <c r="I83" s="8" t="s">
        <v>34</v>
      </c>
      <c r="J83" s="12" t="n">
        <f aca="false">IF(E83="ENTRADA",F83-G83,G83-F83)</f>
        <v>-17.56</v>
      </c>
      <c r="K83" s="13" t="n">
        <f aca="false">IFERROR(IF(G83=0,0,J83/G83),0)</f>
        <v>-0.0373617021276596</v>
      </c>
      <c r="L83" s="14" t="n">
        <v>0.427</v>
      </c>
      <c r="M83" s="15" t="s">
        <v>25</v>
      </c>
      <c r="N83" s="13" t="n">
        <f aca="false">IFERROR(IF(E83="ENTRADA",IF(G83=0,1,MIN(F83/G83,2)),IF(G83=0,1,MAX(1-ABS(J83)/G83,0))),0)</f>
        <v>0.962638297872341</v>
      </c>
      <c r="O83" s="16" t="n">
        <v>59</v>
      </c>
    </row>
    <row r="84" customFormat="false" ht="18.75" hidden="false" customHeight="true" outlineLevel="0" collapsed="false">
      <c r="A84" s="17" t="s">
        <v>158</v>
      </c>
      <c r="B84" s="18" t="s">
        <v>92</v>
      </c>
      <c r="C84" s="19" t="s">
        <v>85</v>
      </c>
      <c r="D84" s="19" t="s">
        <v>93</v>
      </c>
      <c r="E84" s="20" t="s">
        <v>22</v>
      </c>
      <c r="F84" s="21" t="n">
        <v>1023.54</v>
      </c>
      <c r="G84" s="11" t="n">
        <v>1250</v>
      </c>
      <c r="H84" s="19" t="s">
        <v>29</v>
      </c>
      <c r="I84" s="19" t="s">
        <v>34</v>
      </c>
      <c r="J84" s="22" t="n">
        <f aca="false">IF(E84="ENTRADA",F84-G84,G84-F84)</f>
        <v>226.46</v>
      </c>
      <c r="K84" s="23" t="n">
        <f aca="false">IFERROR(IF(G84=0,0,J84/G84),0)</f>
        <v>0.181168</v>
      </c>
      <c r="L84" s="24" t="n">
        <v>1.74</v>
      </c>
      <c r="M84" s="25" t="s">
        <v>25</v>
      </c>
      <c r="N84" s="23" t="n">
        <f aca="false">IFERROR(IF(E84="ENTRADA",IF(G84=0,1,MIN(F84/G84,2)),IF(G84=0,1,MAX(1-ABS(J84)/G84,0))),0)</f>
        <v>0.818832</v>
      </c>
      <c r="O84" s="26" t="n">
        <v>77</v>
      </c>
    </row>
    <row r="85" customFormat="false" ht="18.75" hidden="false" customHeight="true" outlineLevel="0" collapsed="false">
      <c r="A85" s="6" t="s">
        <v>159</v>
      </c>
      <c r="B85" s="7" t="s">
        <v>55</v>
      </c>
      <c r="C85" s="8" t="s">
        <v>27</v>
      </c>
      <c r="D85" s="8" t="s">
        <v>28</v>
      </c>
      <c r="E85" s="9" t="s">
        <v>22</v>
      </c>
      <c r="F85" s="10" t="n">
        <v>125.74</v>
      </c>
      <c r="G85" s="11" t="n">
        <v>144</v>
      </c>
      <c r="H85" s="8" t="s">
        <v>29</v>
      </c>
      <c r="I85" s="8" t="s">
        <v>34</v>
      </c>
      <c r="J85" s="12" t="n">
        <f aca="false">IF(E85="ENTRADA",F85-G85,G85-F85)</f>
        <v>18.26</v>
      </c>
      <c r="K85" s="13" t="n">
        <f aca="false">IFERROR(IF(G85=0,0,J85/G85),0)</f>
        <v>0.126805555555556</v>
      </c>
      <c r="L85" s="14" t="n">
        <v>-0.458</v>
      </c>
      <c r="M85" s="15" t="s">
        <v>25</v>
      </c>
      <c r="N85" s="13" t="n">
        <f aca="false">IFERROR(IF(E85="ENTRADA",IF(G85=0,1,MIN(F85/G85,2)),IF(G85=0,1,MAX(1-ABS(J85)/G85,0))),0)</f>
        <v>0.873194444444444</v>
      </c>
      <c r="O85" s="16" t="n">
        <v>68</v>
      </c>
    </row>
    <row r="86" customFormat="false" ht="18.75" hidden="false" customHeight="true" outlineLevel="0" collapsed="false">
      <c r="A86" s="17" t="s">
        <v>160</v>
      </c>
      <c r="B86" s="18" t="s">
        <v>127</v>
      </c>
      <c r="C86" s="19" t="s">
        <v>52</v>
      </c>
      <c r="D86" s="19" t="s">
        <v>89</v>
      </c>
      <c r="E86" s="20" t="s">
        <v>22</v>
      </c>
      <c r="F86" s="21" t="n">
        <v>164.62</v>
      </c>
      <c r="G86" s="11" t="n">
        <v>180</v>
      </c>
      <c r="H86" s="19" t="s">
        <v>38</v>
      </c>
      <c r="I86" s="19" t="s">
        <v>34</v>
      </c>
      <c r="J86" s="22" t="n">
        <f aca="false">IF(E86="ENTRADA",F86-G86,G86-F86)</f>
        <v>15.38</v>
      </c>
      <c r="K86" s="23" t="n">
        <f aca="false">IFERROR(IF(G86=0,0,J86/G86),0)</f>
        <v>0.0854444444444444</v>
      </c>
      <c r="L86" s="24" t="n">
        <v>-0.363</v>
      </c>
      <c r="M86" s="25" t="s">
        <v>25</v>
      </c>
      <c r="N86" s="23" t="n">
        <f aca="false">IFERROR(IF(E86="ENTRADA",IF(G86=0,1,MIN(F86/G86,2)),IF(G86=0,1,MAX(1-ABS(J86)/G86,0))),0)</f>
        <v>0.914555555555556</v>
      </c>
      <c r="O86" s="26" t="n">
        <v>54</v>
      </c>
    </row>
    <row r="87" customFormat="false" ht="18.75" hidden="false" customHeight="true" outlineLevel="0" collapsed="false">
      <c r="A87" s="6" t="s">
        <v>161</v>
      </c>
      <c r="B87" s="7" t="s">
        <v>75</v>
      </c>
      <c r="C87" s="8" t="s">
        <v>76</v>
      </c>
      <c r="D87" s="8" t="s">
        <v>125</v>
      </c>
      <c r="E87" s="9" t="s">
        <v>22</v>
      </c>
      <c r="F87" s="10" t="n">
        <v>38.32</v>
      </c>
      <c r="G87" s="11" t="n">
        <v>75</v>
      </c>
      <c r="H87" s="8" t="s">
        <v>38</v>
      </c>
      <c r="I87" s="8" t="s">
        <v>34</v>
      </c>
      <c r="J87" s="12" t="n">
        <f aca="false">IF(E87="ENTRADA",F87-G87,G87-F87)</f>
        <v>36.68</v>
      </c>
      <c r="K87" s="13" t="n">
        <f aca="false">IFERROR(IF(G87=0,0,J87/G87),0)</f>
        <v>0.489066666666667</v>
      </c>
      <c r="L87" s="14" t="n">
        <v>-0.672</v>
      </c>
      <c r="M87" s="15" t="s">
        <v>25</v>
      </c>
      <c r="N87" s="13" t="n">
        <f aca="false">IFERROR(IF(E87="ENTRADA",IF(G87=0,1,MIN(F87/G87,2)),IF(G87=0,1,MAX(1-ABS(J87)/G87,0))),0)</f>
        <v>0.510933333333333</v>
      </c>
      <c r="O87" s="16" t="n">
        <v>106</v>
      </c>
    </row>
    <row r="88" customFormat="false" ht="18.75" hidden="false" customHeight="true" outlineLevel="0" collapsed="false">
      <c r="A88" s="17" t="s">
        <v>162</v>
      </c>
      <c r="B88" s="18" t="s">
        <v>163</v>
      </c>
      <c r="C88" s="19" t="s">
        <v>46</v>
      </c>
      <c r="D88" s="19" t="s">
        <v>47</v>
      </c>
      <c r="E88" s="27" t="s">
        <v>48</v>
      </c>
      <c r="F88" s="21" t="n">
        <v>8451.61</v>
      </c>
      <c r="G88" s="11" t="n">
        <v>8500</v>
      </c>
      <c r="H88" s="19" t="s">
        <v>29</v>
      </c>
      <c r="I88" s="19" t="s">
        <v>34</v>
      </c>
      <c r="J88" s="22" t="n">
        <f aca="false">IF(E88="ENTRADA",F88-G88,G88-F88)</f>
        <v>-48.3899999999994</v>
      </c>
      <c r="K88" s="23" t="n">
        <f aca="false">IFERROR(IF(G88=0,0,J88/G88),0)</f>
        <v>-0.00569294117647052</v>
      </c>
      <c r="L88" s="24" t="n">
        <v>0</v>
      </c>
      <c r="M88" s="26" t="s">
        <v>49</v>
      </c>
      <c r="N88" s="23" t="n">
        <f aca="false">IFERROR(IF(E88="ENTRADA",IF(G88=0,1,MIN(F88/G88,2)),IF(G88=0,1,MAX(1-ABS(J88)/G88,0))),0)</f>
        <v>0.994307058823529</v>
      </c>
      <c r="O88" s="26" t="n">
        <v>81</v>
      </c>
    </row>
    <row r="89" customFormat="false" ht="18.75" hidden="false" customHeight="true" outlineLevel="0" collapsed="false">
      <c r="A89" s="6" t="s">
        <v>162</v>
      </c>
      <c r="B89" s="7" t="s">
        <v>120</v>
      </c>
      <c r="C89" s="8" t="s">
        <v>85</v>
      </c>
      <c r="D89" s="8" t="s">
        <v>91</v>
      </c>
      <c r="E89" s="9" t="s">
        <v>22</v>
      </c>
      <c r="F89" s="10" t="n">
        <v>380.31</v>
      </c>
      <c r="G89" s="11" t="n">
        <v>500</v>
      </c>
      <c r="H89" s="8" t="s">
        <v>29</v>
      </c>
      <c r="I89" s="8" t="s">
        <v>34</v>
      </c>
      <c r="J89" s="12" t="n">
        <f aca="false">IF(E89="ENTRADA",F89-G89,G89-F89)</f>
        <v>119.69</v>
      </c>
      <c r="K89" s="13" t="n">
        <f aca="false">IFERROR(IF(G89=0,0,J89/G89),0)</f>
        <v>0.23938</v>
      </c>
      <c r="L89" s="14" t="n">
        <v>0.165</v>
      </c>
      <c r="M89" s="15" t="s">
        <v>25</v>
      </c>
      <c r="N89" s="13" t="n">
        <f aca="false">IFERROR(IF(E89="ENTRADA",IF(G89=0,1,MIN(F89/G89,2)),IF(G89=0,1,MAX(1-ABS(J89)/G89,0))),0)</f>
        <v>0.76062</v>
      </c>
      <c r="O89" s="16" t="n">
        <v>99</v>
      </c>
    </row>
    <row r="90" customFormat="false" ht="18.75" hidden="false" customHeight="true" outlineLevel="0" collapsed="false">
      <c r="A90" s="17" t="s">
        <v>162</v>
      </c>
      <c r="B90" s="18" t="s">
        <v>134</v>
      </c>
      <c r="C90" s="19" t="s">
        <v>76</v>
      </c>
      <c r="D90" s="19" t="s">
        <v>151</v>
      </c>
      <c r="E90" s="20" t="s">
        <v>22</v>
      </c>
      <c r="F90" s="21" t="n">
        <v>52.77</v>
      </c>
      <c r="G90" s="11" t="n">
        <v>75</v>
      </c>
      <c r="H90" s="19" t="s">
        <v>38</v>
      </c>
      <c r="I90" s="19" t="s">
        <v>24</v>
      </c>
      <c r="J90" s="22" t="n">
        <f aca="false">IF(E90="ENTRADA",F90-G90,G90-F90)</f>
        <v>22.23</v>
      </c>
      <c r="K90" s="23" t="n">
        <f aca="false">IFERROR(IF(G90=0,0,J90/G90),0)</f>
        <v>0.2964</v>
      </c>
      <c r="L90" s="24" t="n">
        <v>-0.637</v>
      </c>
      <c r="M90" s="25" t="s">
        <v>25</v>
      </c>
      <c r="N90" s="23" t="n">
        <f aca="false">IFERROR(IF(E90="ENTRADA",IF(G90=0,1,MIN(F90/G90,2)),IF(G90=0,1,MAX(1-ABS(J90)/G90,0))),0)</f>
        <v>0.7036</v>
      </c>
      <c r="O90" s="26" t="n">
        <v>107</v>
      </c>
    </row>
    <row r="91" customFormat="false" ht="18.75" hidden="false" customHeight="true" outlineLevel="0" collapsed="false">
      <c r="A91" s="6" t="s">
        <v>164</v>
      </c>
      <c r="B91" s="7" t="s">
        <v>51</v>
      </c>
      <c r="C91" s="8" t="s">
        <v>52</v>
      </c>
      <c r="D91" s="8" t="s">
        <v>89</v>
      </c>
      <c r="E91" s="9" t="s">
        <v>22</v>
      </c>
      <c r="F91" s="10" t="n">
        <v>367.05</v>
      </c>
      <c r="G91" s="11" t="n">
        <v>300</v>
      </c>
      <c r="H91" s="8" t="s">
        <v>33</v>
      </c>
      <c r="I91" s="8" t="s">
        <v>24</v>
      </c>
      <c r="J91" s="12" t="n">
        <f aca="false">IF(E91="ENTRADA",F91-G91,G91-F91)</f>
        <v>-67.05</v>
      </c>
      <c r="K91" s="13" t="n">
        <f aca="false">IFERROR(IF(G91=0,0,J91/G91),0)</f>
        <v>-0.2235</v>
      </c>
      <c r="L91" s="14" t="n">
        <v>0.132</v>
      </c>
      <c r="M91" s="15" t="s">
        <v>25</v>
      </c>
      <c r="N91" s="13" t="n">
        <f aca="false">IFERROR(IF(E91="ENTRADA",IF(G91=0,1,MIN(F91/G91,2)),IF(G91=0,1,MAX(1-ABS(J91)/G91,0))),0)</f>
        <v>0.7765</v>
      </c>
      <c r="O91" s="16" t="n">
        <v>83</v>
      </c>
    </row>
    <row r="92" customFormat="false" ht="18.75" hidden="false" customHeight="true" outlineLevel="0" collapsed="false">
      <c r="A92" s="17" t="s">
        <v>165</v>
      </c>
      <c r="B92" s="18" t="s">
        <v>166</v>
      </c>
      <c r="C92" s="19" t="s">
        <v>20</v>
      </c>
      <c r="D92" s="19" t="s">
        <v>167</v>
      </c>
      <c r="E92" s="20" t="s">
        <v>22</v>
      </c>
      <c r="F92" s="21" t="n">
        <v>328.06</v>
      </c>
      <c r="G92" s="11" t="n">
        <v>175</v>
      </c>
      <c r="H92" s="19" t="s">
        <v>29</v>
      </c>
      <c r="I92" s="19" t="s">
        <v>24</v>
      </c>
      <c r="J92" s="22" t="n">
        <f aca="false">IF(E92="ENTRADA",F92-G92,G92-F92)</f>
        <v>-153.06</v>
      </c>
      <c r="K92" s="23" t="n">
        <f aca="false">IFERROR(IF(G92=0,0,J92/G92),0)</f>
        <v>-0.874628571428571</v>
      </c>
      <c r="L92" s="24" t="n">
        <v>0.037</v>
      </c>
      <c r="M92" s="25" t="s">
        <v>25</v>
      </c>
      <c r="N92" s="23" t="n">
        <f aca="false">IFERROR(IF(E92="ENTRADA",IF(G92=0,1,MIN(F92/G92,2)),IF(G92=0,1,MAX(1-ABS(J92)/G92,0))),0)</f>
        <v>0.125371428571429</v>
      </c>
      <c r="O92" s="26" t="n">
        <v>89</v>
      </c>
    </row>
    <row r="93" customFormat="false" ht="18.75" hidden="false" customHeight="true" outlineLevel="0" collapsed="false">
      <c r="A93" s="6" t="s">
        <v>168</v>
      </c>
      <c r="B93" s="7" t="s">
        <v>64</v>
      </c>
      <c r="C93" s="8" t="s">
        <v>41</v>
      </c>
      <c r="D93" s="8" t="s">
        <v>114</v>
      </c>
      <c r="E93" s="9" t="s">
        <v>22</v>
      </c>
      <c r="F93" s="10" t="n">
        <v>1069.67</v>
      </c>
      <c r="G93" s="11" t="n">
        <v>1175</v>
      </c>
      <c r="H93" s="8" t="s">
        <v>29</v>
      </c>
      <c r="I93" s="8" t="s">
        <v>34</v>
      </c>
      <c r="J93" s="12" t="n">
        <f aca="false">IF(E93="ENTRADA",F93-G93,G93-F93)</f>
        <v>105.33</v>
      </c>
      <c r="K93" s="13" t="n">
        <f aca="false">IFERROR(IF(G93=0,0,J93/G93),0)</f>
        <v>0.0896425531914893</v>
      </c>
      <c r="L93" s="14" t="n">
        <v>1.853</v>
      </c>
      <c r="M93" s="15" t="s">
        <v>25</v>
      </c>
      <c r="N93" s="13" t="n">
        <f aca="false">IFERROR(IF(E93="ENTRADA",IF(G93=0,1,MIN(F93/G93,2)),IF(G93=0,1,MAX(1-ABS(J93)/G93,0))),0)</f>
        <v>0.910357446808511</v>
      </c>
      <c r="O93" s="16" t="n">
        <v>86</v>
      </c>
    </row>
    <row r="94" customFormat="false" ht="18.75" hidden="false" customHeight="true" outlineLevel="0" collapsed="false">
      <c r="A94" s="17" t="s">
        <v>168</v>
      </c>
      <c r="B94" s="18" t="s">
        <v>26</v>
      </c>
      <c r="C94" s="19" t="s">
        <v>27</v>
      </c>
      <c r="D94" s="19" t="s">
        <v>109</v>
      </c>
      <c r="E94" s="20" t="s">
        <v>22</v>
      </c>
      <c r="F94" s="21" t="n">
        <v>263.42</v>
      </c>
      <c r="G94" s="11" t="n">
        <v>240</v>
      </c>
      <c r="H94" s="19" t="s">
        <v>33</v>
      </c>
      <c r="I94" s="19" t="s">
        <v>34</v>
      </c>
      <c r="J94" s="22" t="n">
        <f aca="false">IF(E94="ENTRADA",F94-G94,G94-F94)</f>
        <v>-23.42</v>
      </c>
      <c r="K94" s="23" t="n">
        <f aca="false">IFERROR(IF(G94=0,0,J94/G94),0)</f>
        <v>-0.0975833333333334</v>
      </c>
      <c r="L94" s="24" t="n">
        <v>-0.121</v>
      </c>
      <c r="M94" s="25" t="s">
        <v>25</v>
      </c>
      <c r="N94" s="23" t="n">
        <f aca="false">IFERROR(IF(E94="ENTRADA",IF(G94=0,1,MIN(F94/G94,2)),IF(G94=0,1,MAX(1-ABS(J94)/G94,0))),0)</f>
        <v>0.902416666666667</v>
      </c>
      <c r="O94" s="26" t="n">
        <v>92</v>
      </c>
    </row>
    <row r="95" customFormat="false" ht="18.75" hidden="false" customHeight="true" outlineLevel="0" collapsed="false">
      <c r="A95" s="6" t="s">
        <v>168</v>
      </c>
      <c r="B95" s="7" t="s">
        <v>35</v>
      </c>
      <c r="C95" s="8" t="s">
        <v>36</v>
      </c>
      <c r="D95" s="8" t="s">
        <v>62</v>
      </c>
      <c r="E95" s="9" t="s">
        <v>22</v>
      </c>
      <c r="F95" s="10" t="n">
        <v>102.12</v>
      </c>
      <c r="G95" s="11" t="n">
        <v>80</v>
      </c>
      <c r="H95" s="8" t="s">
        <v>43</v>
      </c>
      <c r="I95" s="8" t="s">
        <v>34</v>
      </c>
      <c r="J95" s="12" t="n">
        <f aca="false">IF(E95="ENTRADA",F95-G95,G95-F95)</f>
        <v>-22.12</v>
      </c>
      <c r="K95" s="13" t="n">
        <f aca="false">IFERROR(IF(G95=0,0,J95/G95),0)</f>
        <v>-0.2765</v>
      </c>
      <c r="L95" s="14" t="n">
        <v>-0.516</v>
      </c>
      <c r="M95" s="15" t="s">
        <v>25</v>
      </c>
      <c r="N95" s="13" t="n">
        <f aca="false">IFERROR(IF(E95="ENTRADA",IF(G95=0,1,MIN(F95/G95,2)),IF(G95=0,1,MAX(1-ABS(J95)/G95,0))),0)</f>
        <v>0.7235</v>
      </c>
      <c r="O95" s="16" t="n">
        <v>95</v>
      </c>
    </row>
    <row r="96" customFormat="false" ht="18.75" hidden="false" customHeight="true" outlineLevel="0" collapsed="false">
      <c r="A96" s="17" t="s">
        <v>169</v>
      </c>
      <c r="B96" s="18" t="s">
        <v>67</v>
      </c>
      <c r="C96" s="19" t="s">
        <v>46</v>
      </c>
      <c r="D96" s="19" t="s">
        <v>68</v>
      </c>
      <c r="E96" s="27" t="s">
        <v>48</v>
      </c>
      <c r="F96" s="21" t="n">
        <v>1361.62</v>
      </c>
      <c r="G96" s="21" t="n">
        <v>0</v>
      </c>
      <c r="H96" s="19" t="s">
        <v>43</v>
      </c>
      <c r="I96" s="19" t="s">
        <v>24</v>
      </c>
      <c r="J96" s="22" t="n">
        <f aca="false">IF(E96="ENTRADA",F96-G96,G96-F96)</f>
        <v>1361.62</v>
      </c>
      <c r="K96" s="23" t="n">
        <f aca="false">IFERROR(IF(G96=0,0,J96/G96),0)</f>
        <v>0</v>
      </c>
      <c r="L96" s="24" t="n">
        <v>0</v>
      </c>
      <c r="M96" s="26" t="s">
        <v>49</v>
      </c>
      <c r="N96" s="23" t="n">
        <f aca="false">IFERROR(IF(E96="ENTRADA",IF(G96=0,1,MIN(F96/G96,2)),IF(G96=0,1,MAX(1-ABS(J96)/G96,0))),0)</f>
        <v>1</v>
      </c>
      <c r="O96" s="26" t="n">
        <v>82</v>
      </c>
    </row>
    <row r="97" customFormat="false" ht="18.75" hidden="false" customHeight="true" outlineLevel="0" collapsed="false">
      <c r="A97" s="6" t="s">
        <v>169</v>
      </c>
      <c r="B97" s="7" t="s">
        <v>92</v>
      </c>
      <c r="C97" s="8" t="s">
        <v>85</v>
      </c>
      <c r="D97" s="8" t="s">
        <v>93</v>
      </c>
      <c r="E97" s="9" t="s">
        <v>22</v>
      </c>
      <c r="F97" s="10" t="n">
        <v>457.19</v>
      </c>
      <c r="G97" s="11" t="n">
        <v>500</v>
      </c>
      <c r="H97" s="8" t="s">
        <v>43</v>
      </c>
      <c r="I97" s="8" t="s">
        <v>34</v>
      </c>
      <c r="J97" s="12" t="n">
        <f aca="false">IF(E97="ENTRADA",F97-G97,G97-F97)</f>
        <v>42.81</v>
      </c>
      <c r="K97" s="13" t="n">
        <f aca="false">IFERROR(IF(G97=0,0,J97/G97),0)</f>
        <v>0.08562</v>
      </c>
      <c r="L97" s="14" t="n">
        <v>0.353</v>
      </c>
      <c r="M97" s="15" t="s">
        <v>25</v>
      </c>
      <c r="N97" s="13" t="n">
        <f aca="false">IFERROR(IF(E97="ENTRADA",IF(G97=0,1,MIN(F97/G97,2)),IF(G97=0,1,MAX(1-ABS(J97)/G97,0))),0)</f>
        <v>0.91438</v>
      </c>
      <c r="O97" s="16" t="n">
        <v>101</v>
      </c>
    </row>
    <row r="98" customFormat="false" ht="18.75" hidden="false" customHeight="true" outlineLevel="0" collapsed="false">
      <c r="A98" s="17" t="s">
        <v>169</v>
      </c>
      <c r="B98" s="18" t="s">
        <v>101</v>
      </c>
      <c r="C98" s="19" t="s">
        <v>85</v>
      </c>
      <c r="D98" s="19" t="s">
        <v>170</v>
      </c>
      <c r="E98" s="20" t="s">
        <v>22</v>
      </c>
      <c r="F98" s="21" t="n">
        <v>305.21</v>
      </c>
      <c r="G98" s="11" t="n">
        <v>500</v>
      </c>
      <c r="H98" s="19" t="s">
        <v>29</v>
      </c>
      <c r="I98" s="19" t="s">
        <v>34</v>
      </c>
      <c r="J98" s="22" t="n">
        <f aca="false">IF(E98="ENTRADA",F98-G98,G98-F98)</f>
        <v>194.79</v>
      </c>
      <c r="K98" s="23" t="n">
        <f aca="false">IFERROR(IF(G98=0,0,J98/G98),0)</f>
        <v>0.38958</v>
      </c>
      <c r="L98" s="24" t="n">
        <v>-0.019</v>
      </c>
      <c r="M98" s="25" t="s">
        <v>25</v>
      </c>
      <c r="N98" s="23" t="n">
        <f aca="false">IFERROR(IF(E98="ENTRADA",IF(G98=0,1,MIN(F98/G98,2)),IF(G98=0,1,MAX(1-ABS(J98)/G98,0))),0)</f>
        <v>0.61042</v>
      </c>
      <c r="O98" s="26" t="n">
        <v>102</v>
      </c>
    </row>
    <row r="99" customFormat="false" ht="18.75" hidden="false" customHeight="true" outlineLevel="0" collapsed="false">
      <c r="A99" s="6" t="s">
        <v>171</v>
      </c>
      <c r="B99" s="7" t="s">
        <v>73</v>
      </c>
      <c r="C99" s="8" t="s">
        <v>36</v>
      </c>
      <c r="D99" s="8" t="s">
        <v>37</v>
      </c>
      <c r="E99" s="9" t="s">
        <v>22</v>
      </c>
      <c r="F99" s="10" t="n">
        <v>143.9</v>
      </c>
      <c r="G99" s="11" t="n">
        <v>80</v>
      </c>
      <c r="H99" s="8" t="s">
        <v>33</v>
      </c>
      <c r="I99" s="8" t="s">
        <v>24</v>
      </c>
      <c r="J99" s="12" t="n">
        <f aca="false">IF(E99="ENTRADA",F99-G99,G99-F99)</f>
        <v>-63.9</v>
      </c>
      <c r="K99" s="13" t="n">
        <f aca="false">IFERROR(IF(G99=0,0,J99/G99),0)</f>
        <v>-0.79875</v>
      </c>
      <c r="L99" s="14" t="n">
        <v>-0.414</v>
      </c>
      <c r="M99" s="15" t="s">
        <v>25</v>
      </c>
      <c r="N99" s="13" t="n">
        <f aca="false">IFERROR(IF(E99="ENTRADA",IF(G99=0,1,MIN(F99/G99,2)),IF(G99=0,1,MAX(1-ABS(J99)/G99,0))),0)</f>
        <v>0.20125</v>
      </c>
      <c r="O99" s="16" t="n">
        <v>96</v>
      </c>
    </row>
    <row r="100" customFormat="false" ht="18.75" hidden="false" customHeight="true" outlineLevel="0" collapsed="false">
      <c r="A100" s="17" t="s">
        <v>172</v>
      </c>
      <c r="B100" s="18" t="s">
        <v>127</v>
      </c>
      <c r="C100" s="19" t="s">
        <v>52</v>
      </c>
      <c r="D100" s="19" t="s">
        <v>58</v>
      </c>
      <c r="E100" s="20" t="s">
        <v>22</v>
      </c>
      <c r="F100" s="21" t="n">
        <v>340.99</v>
      </c>
      <c r="G100" s="11" t="n">
        <v>300</v>
      </c>
      <c r="H100" s="19" t="s">
        <v>33</v>
      </c>
      <c r="I100" s="19" t="s">
        <v>24</v>
      </c>
      <c r="J100" s="22" t="n">
        <f aca="false">IF(E100="ENTRADA",F100-G100,G100-F100)</f>
        <v>-40.99</v>
      </c>
      <c r="K100" s="23" t="n">
        <f aca="false">IFERROR(IF(G100=0,0,J100/G100),0)</f>
        <v>-0.136633333333333</v>
      </c>
      <c r="L100" s="24" t="n">
        <v>0.069</v>
      </c>
      <c r="M100" s="25" t="s">
        <v>25</v>
      </c>
      <c r="N100" s="23" t="n">
        <f aca="false">IFERROR(IF(E100="ENTRADA",IF(G100=0,1,MIN(F100/G100,2)),IF(G100=0,1,MAX(1-ABS(J100)/G100,0))),0)</f>
        <v>0.863366666666667</v>
      </c>
      <c r="O100" s="26" t="n">
        <v>85</v>
      </c>
    </row>
    <row r="101" customFormat="false" ht="18.75" hidden="false" customHeight="true" outlineLevel="0" collapsed="false">
      <c r="A101" s="6" t="s">
        <v>173</v>
      </c>
      <c r="B101" s="7" t="s">
        <v>174</v>
      </c>
      <c r="C101" s="8" t="s">
        <v>76</v>
      </c>
      <c r="D101" s="8" t="s">
        <v>175</v>
      </c>
      <c r="E101" s="9" t="s">
        <v>22</v>
      </c>
      <c r="F101" s="10" t="n">
        <v>62.14</v>
      </c>
      <c r="G101" s="11" t="n">
        <v>75</v>
      </c>
      <c r="H101" s="8" t="s">
        <v>23</v>
      </c>
      <c r="I101" s="8" t="s">
        <v>24</v>
      </c>
      <c r="J101" s="12" t="n">
        <f aca="false">IF(E101="ENTRADA",F101-G101,G101-F101)</f>
        <v>12.86</v>
      </c>
      <c r="K101" s="13" t="n">
        <f aca="false">IFERROR(IF(G101=0,0,J101/G101),0)</f>
        <v>0.171466666666667</v>
      </c>
      <c r="L101" s="14" t="n">
        <v>-0.614</v>
      </c>
      <c r="M101" s="15" t="s">
        <v>25</v>
      </c>
      <c r="N101" s="13" t="n">
        <f aca="false">IFERROR(IF(E101="ENTRADA",IF(G101=0,1,MIN(F101/G101,2)),IF(G101=0,1,MAX(1-ABS(J101)/G101,0))),0)</f>
        <v>0.828533333333333</v>
      </c>
      <c r="O101" s="16" t="n">
        <v>104</v>
      </c>
    </row>
    <row r="102" customFormat="false" ht="18.75" hidden="false" customHeight="true" outlineLevel="0" collapsed="false">
      <c r="A102" s="17" t="s">
        <v>176</v>
      </c>
      <c r="B102" s="18" t="s">
        <v>35</v>
      </c>
      <c r="C102" s="19" t="s">
        <v>36</v>
      </c>
      <c r="D102" s="19" t="s">
        <v>62</v>
      </c>
      <c r="E102" s="20" t="s">
        <v>22</v>
      </c>
      <c r="F102" s="21" t="n">
        <v>50.32</v>
      </c>
      <c r="G102" s="11" t="n">
        <v>80</v>
      </c>
      <c r="H102" s="19" t="s">
        <v>23</v>
      </c>
      <c r="I102" s="19" t="s">
        <v>34</v>
      </c>
      <c r="J102" s="22" t="n">
        <f aca="false">IF(E102="ENTRADA",F102-G102,G102-F102)</f>
        <v>29.68</v>
      </c>
      <c r="K102" s="23" t="n">
        <f aca="false">IFERROR(IF(G102=0,0,J102/G102),0)</f>
        <v>0.371</v>
      </c>
      <c r="L102" s="24" t="n">
        <v>-0.643</v>
      </c>
      <c r="M102" s="25" t="s">
        <v>25</v>
      </c>
      <c r="N102" s="23" t="n">
        <f aca="false">IFERROR(IF(E102="ENTRADA",IF(G102=0,1,MIN(F102/G102,2)),IF(G102=0,1,MAX(1-ABS(J102)/G102,0))),0)</f>
        <v>0.629</v>
      </c>
      <c r="O102" s="26" t="n">
        <v>94</v>
      </c>
    </row>
    <row r="103" customFormat="false" ht="18.75" hidden="false" customHeight="true" outlineLevel="0" collapsed="false">
      <c r="A103" s="6" t="s">
        <v>177</v>
      </c>
      <c r="B103" s="7" t="s">
        <v>51</v>
      </c>
      <c r="C103" s="8" t="s">
        <v>52</v>
      </c>
      <c r="D103" s="8" t="s">
        <v>58</v>
      </c>
      <c r="E103" s="9" t="s">
        <v>22</v>
      </c>
      <c r="F103" s="10" t="n">
        <v>375.73</v>
      </c>
      <c r="G103" s="11" t="n">
        <v>300</v>
      </c>
      <c r="H103" s="8" t="s">
        <v>38</v>
      </c>
      <c r="I103" s="8" t="s">
        <v>34</v>
      </c>
      <c r="J103" s="12" t="n">
        <f aca="false">IF(E103="ENTRADA",F103-G103,G103-F103)</f>
        <v>-75.73</v>
      </c>
      <c r="K103" s="13" t="n">
        <f aca="false">IFERROR(IF(G103=0,0,J103/G103),0)</f>
        <v>-0.252433333333333</v>
      </c>
      <c r="L103" s="14" t="n">
        <v>0.154</v>
      </c>
      <c r="M103" s="15" t="s">
        <v>25</v>
      </c>
      <c r="N103" s="13" t="n">
        <f aca="false">IFERROR(IF(E103="ENTRADA",IF(G103=0,1,MIN(F103/G103,2)),IF(G103=0,1,MAX(1-ABS(J103)/G103,0))),0)</f>
        <v>0.747566666666667</v>
      </c>
      <c r="O103" s="16" t="n">
        <v>84</v>
      </c>
    </row>
    <row r="104" customFormat="false" ht="18.75" hidden="false" customHeight="true" outlineLevel="0" collapsed="false">
      <c r="A104" s="17" t="s">
        <v>177</v>
      </c>
      <c r="B104" s="18" t="s">
        <v>144</v>
      </c>
      <c r="C104" s="19" t="s">
        <v>31</v>
      </c>
      <c r="D104" s="19" t="s">
        <v>60</v>
      </c>
      <c r="E104" s="20" t="s">
        <v>22</v>
      </c>
      <c r="F104" s="21" t="n">
        <v>282.95</v>
      </c>
      <c r="G104" s="11" t="n">
        <v>280</v>
      </c>
      <c r="H104" s="19" t="s">
        <v>33</v>
      </c>
      <c r="I104" s="19" t="s">
        <v>24</v>
      </c>
      <c r="J104" s="22" t="n">
        <f aca="false">IF(E104="ENTRADA",F104-G104,G104-F104)</f>
        <v>-2.94999999999999</v>
      </c>
      <c r="K104" s="23" t="n">
        <f aca="false">IFERROR(IF(G104=0,0,J104/G104),0)</f>
        <v>-0.0105357142857142</v>
      </c>
      <c r="L104" s="24" t="n">
        <v>-0.074</v>
      </c>
      <c r="M104" s="25" t="s">
        <v>25</v>
      </c>
      <c r="N104" s="23" t="n">
        <f aca="false">IFERROR(IF(E104="ENTRADA",IF(G104=0,1,MIN(F104/G104,2)),IF(G104=0,1,MAX(1-ABS(J104)/G104,0))),0)</f>
        <v>0.989464285714286</v>
      </c>
      <c r="O104" s="26" t="n">
        <v>93</v>
      </c>
    </row>
    <row r="105" customFormat="false" ht="18.75" hidden="false" customHeight="true" outlineLevel="0" collapsed="false">
      <c r="A105" s="6" t="s">
        <v>178</v>
      </c>
      <c r="B105" s="7" t="s">
        <v>108</v>
      </c>
      <c r="C105" s="8" t="s">
        <v>27</v>
      </c>
      <c r="D105" s="8" t="s">
        <v>146</v>
      </c>
      <c r="E105" s="9" t="s">
        <v>22</v>
      </c>
      <c r="F105" s="10" t="n">
        <v>288.62</v>
      </c>
      <c r="G105" s="11" t="n">
        <v>240</v>
      </c>
      <c r="H105" s="8" t="s">
        <v>43</v>
      </c>
      <c r="I105" s="8" t="s">
        <v>34</v>
      </c>
      <c r="J105" s="12" t="n">
        <f aca="false">IF(E105="ENTRADA",F105-G105,G105-F105)</f>
        <v>-48.62</v>
      </c>
      <c r="K105" s="13" t="n">
        <f aca="false">IFERROR(IF(G105=0,0,J105/G105),0)</f>
        <v>-0.202583333333333</v>
      </c>
      <c r="L105" s="14" t="n">
        <v>-0.06</v>
      </c>
      <c r="M105" s="15" t="s">
        <v>25</v>
      </c>
      <c r="N105" s="13" t="n">
        <f aca="false">IFERROR(IF(E105="ENTRADA",IF(G105=0,1,MIN(F105/G105,2)),IF(G105=0,1,MAX(1-ABS(J105)/G105,0))),0)</f>
        <v>0.797416666666667</v>
      </c>
      <c r="O105" s="16" t="n">
        <v>91</v>
      </c>
    </row>
    <row r="106" customFormat="false" ht="18.75" hidden="false" customHeight="true" outlineLevel="0" collapsed="false">
      <c r="A106" s="17" t="s">
        <v>178</v>
      </c>
      <c r="B106" s="18" t="s">
        <v>35</v>
      </c>
      <c r="C106" s="19" t="s">
        <v>36</v>
      </c>
      <c r="D106" s="19" t="s">
        <v>115</v>
      </c>
      <c r="E106" s="20" t="s">
        <v>22</v>
      </c>
      <c r="F106" s="21" t="n">
        <v>61.03</v>
      </c>
      <c r="G106" s="11" t="n">
        <v>80</v>
      </c>
      <c r="H106" s="19" t="s">
        <v>23</v>
      </c>
      <c r="I106" s="19" t="s">
        <v>24</v>
      </c>
      <c r="J106" s="22" t="n">
        <f aca="false">IF(E106="ENTRADA",F106-G106,G106-F106)</f>
        <v>18.97</v>
      </c>
      <c r="K106" s="23" t="n">
        <f aca="false">IFERROR(IF(G106=0,0,J106/G106),0)</f>
        <v>0.237125</v>
      </c>
      <c r="L106" s="24" t="n">
        <v>-0.617</v>
      </c>
      <c r="M106" s="25" t="s">
        <v>25</v>
      </c>
      <c r="N106" s="23" t="n">
        <f aca="false">IFERROR(IF(E106="ENTRADA",IF(G106=0,1,MIN(F106/G106,2)),IF(G106=0,1,MAX(1-ABS(J106)/G106,0))),0)</f>
        <v>0.762875</v>
      </c>
      <c r="O106" s="26" t="n">
        <v>97</v>
      </c>
    </row>
    <row r="107" customFormat="false" ht="18.75" hidden="false" customHeight="true" outlineLevel="0" collapsed="false">
      <c r="A107" s="6" t="s">
        <v>178</v>
      </c>
      <c r="B107" s="7" t="s">
        <v>73</v>
      </c>
      <c r="C107" s="8" t="s">
        <v>36</v>
      </c>
      <c r="D107" s="8" t="s">
        <v>115</v>
      </c>
      <c r="E107" s="9" t="s">
        <v>22</v>
      </c>
      <c r="F107" s="10" t="n">
        <v>72.08</v>
      </c>
      <c r="G107" s="11" t="n">
        <v>80</v>
      </c>
      <c r="H107" s="8" t="s">
        <v>29</v>
      </c>
      <c r="I107" s="8" t="s">
        <v>24</v>
      </c>
      <c r="J107" s="12" t="n">
        <f aca="false">IF(E107="ENTRADA",F107-G107,G107-F107)</f>
        <v>7.92</v>
      </c>
      <c r="K107" s="13" t="n">
        <f aca="false">IFERROR(IF(G107=0,0,J107/G107),0)</f>
        <v>0.099</v>
      </c>
      <c r="L107" s="14" t="n">
        <v>-0.59</v>
      </c>
      <c r="M107" s="15" t="s">
        <v>25</v>
      </c>
      <c r="N107" s="13" t="n">
        <f aca="false">IFERROR(IF(E107="ENTRADA",IF(G107=0,1,MIN(F107/G107,2)),IF(G107=0,1,MAX(1-ABS(J107)/G107,0))),0)</f>
        <v>0.901</v>
      </c>
      <c r="O107" s="16" t="n">
        <v>98</v>
      </c>
    </row>
    <row r="108" customFormat="false" ht="18.75" hidden="false" customHeight="true" outlineLevel="0" collapsed="false">
      <c r="A108" s="17" t="s">
        <v>178</v>
      </c>
      <c r="B108" s="18" t="s">
        <v>120</v>
      </c>
      <c r="C108" s="19" t="s">
        <v>85</v>
      </c>
      <c r="D108" s="19" t="s">
        <v>93</v>
      </c>
      <c r="E108" s="20" t="s">
        <v>22</v>
      </c>
      <c r="F108" s="21" t="n">
        <v>239.58</v>
      </c>
      <c r="G108" s="11" t="n">
        <v>500</v>
      </c>
      <c r="H108" s="19" t="s">
        <v>23</v>
      </c>
      <c r="I108" s="19" t="s">
        <v>34</v>
      </c>
      <c r="J108" s="22" t="n">
        <f aca="false">IF(E108="ENTRADA",F108-G108,G108-F108)</f>
        <v>260.42</v>
      </c>
      <c r="K108" s="23" t="n">
        <f aca="false">IFERROR(IF(G108=0,0,J108/G108),0)</f>
        <v>0.52084</v>
      </c>
      <c r="L108" s="24" t="n">
        <v>-0.18</v>
      </c>
      <c r="M108" s="25" t="s">
        <v>25</v>
      </c>
      <c r="N108" s="23" t="n">
        <f aca="false">IFERROR(IF(E108="ENTRADA",IF(G108=0,1,MIN(F108/G108,2)),IF(G108=0,1,MAX(1-ABS(J108)/G108,0))),0)</f>
        <v>0.47916</v>
      </c>
      <c r="O108" s="26" t="n">
        <v>100</v>
      </c>
    </row>
    <row r="109" customFormat="false" ht="18.75" hidden="false" customHeight="true" outlineLevel="0" collapsed="false">
      <c r="A109" s="6" t="s">
        <v>179</v>
      </c>
      <c r="B109" s="7" t="s">
        <v>180</v>
      </c>
      <c r="C109" s="8" t="s">
        <v>85</v>
      </c>
      <c r="D109" s="8" t="s">
        <v>93</v>
      </c>
      <c r="E109" s="9" t="s">
        <v>22</v>
      </c>
      <c r="F109" s="10" t="n">
        <v>511.62</v>
      </c>
      <c r="G109" s="11" t="n">
        <v>500</v>
      </c>
      <c r="H109" s="8" t="s">
        <v>33</v>
      </c>
      <c r="I109" s="8" t="s">
        <v>34</v>
      </c>
      <c r="J109" s="12" t="n">
        <f aca="false">IF(E109="ENTRADA",F109-G109,G109-F109)</f>
        <v>-11.62</v>
      </c>
      <c r="K109" s="13" t="n">
        <f aca="false">IFERROR(IF(G109=0,0,J109/G109),0)</f>
        <v>-0.02324</v>
      </c>
      <c r="L109" s="14" t="n">
        <v>0.486</v>
      </c>
      <c r="M109" s="15" t="s">
        <v>25</v>
      </c>
      <c r="N109" s="13" t="n">
        <f aca="false">IFERROR(IF(E109="ENTRADA",IF(G109=0,1,MIN(F109/G109,2)),IF(G109=0,1,MAX(1-ABS(J109)/G109,0))),0)</f>
        <v>0.97676</v>
      </c>
      <c r="O109" s="16" t="n">
        <v>103</v>
      </c>
    </row>
    <row r="110" customFormat="false" ht="18.75" hidden="false" customHeight="true" outlineLevel="0" collapsed="false">
      <c r="A110" s="17" t="s">
        <v>179</v>
      </c>
      <c r="B110" s="18" t="s">
        <v>75</v>
      </c>
      <c r="C110" s="19" t="s">
        <v>76</v>
      </c>
      <c r="D110" s="19" t="s">
        <v>151</v>
      </c>
      <c r="E110" s="20" t="s">
        <v>22</v>
      </c>
      <c r="F110" s="21" t="n">
        <v>32.45</v>
      </c>
      <c r="G110" s="11" t="n">
        <v>75</v>
      </c>
      <c r="H110" s="19" t="s">
        <v>33</v>
      </c>
      <c r="I110" s="19" t="s">
        <v>24</v>
      </c>
      <c r="J110" s="22" t="n">
        <f aca="false">IF(E110="ENTRADA",F110-G110,G110-F110)</f>
        <v>42.55</v>
      </c>
      <c r="K110" s="23" t="n">
        <f aca="false">IFERROR(IF(G110=0,0,J110/G110),0)</f>
        <v>0.567333333333333</v>
      </c>
      <c r="L110" s="24" t="n">
        <v>-0.687</v>
      </c>
      <c r="M110" s="25" t="s">
        <v>25</v>
      </c>
      <c r="N110" s="23" t="n">
        <f aca="false">IFERROR(IF(E110="ENTRADA",IF(G110=0,1,MIN(F110/G110,2)),IF(G110=0,1,MAX(1-ABS(J110)/G110,0))),0)</f>
        <v>0.432666666666667</v>
      </c>
      <c r="O110" s="26" t="n">
        <v>105</v>
      </c>
    </row>
    <row r="111" customFormat="false" ht="18.75" hidden="false" customHeight="true" outlineLevel="0" collapsed="false">
      <c r="A111" s="6" t="s">
        <v>181</v>
      </c>
      <c r="B111" s="7" t="s">
        <v>98</v>
      </c>
      <c r="C111" s="8" t="s">
        <v>20</v>
      </c>
      <c r="D111" s="8" t="s">
        <v>21</v>
      </c>
      <c r="E111" s="9" t="s">
        <v>22</v>
      </c>
      <c r="F111" s="10" t="n">
        <v>283.48</v>
      </c>
      <c r="G111" s="11" t="n">
        <v>175</v>
      </c>
      <c r="H111" s="8" t="s">
        <v>33</v>
      </c>
      <c r="I111" s="8" t="s">
        <v>34</v>
      </c>
      <c r="J111" s="12" t="n">
        <f aca="false">IF(E111="ENTRADA",F111-G111,G111-F111)</f>
        <v>-108.48</v>
      </c>
      <c r="K111" s="13" t="n">
        <f aca="false">IFERROR(IF(G111=0,0,J111/G111),0)</f>
        <v>-0.619885714285714</v>
      </c>
      <c r="L111" s="14" t="n">
        <v>-0.072</v>
      </c>
      <c r="M111" s="15" t="s">
        <v>25</v>
      </c>
      <c r="N111" s="13" t="n">
        <f aca="false">IFERROR(IF(E111="ENTRADA",IF(G111=0,1,MIN(F111/G111,2)),IF(G111=0,1,MAX(1-ABS(J111)/G111,0))),0)</f>
        <v>0.380114285714286</v>
      </c>
      <c r="O111" s="16" t="n">
        <v>88</v>
      </c>
    </row>
    <row r="112" customFormat="false" ht="18.75" hidden="false" customHeight="true" outlineLevel="0" collapsed="false">
      <c r="A112" s="17" t="s">
        <v>182</v>
      </c>
      <c r="B112" s="18" t="s">
        <v>40</v>
      </c>
      <c r="C112" s="19" t="s">
        <v>41</v>
      </c>
      <c r="D112" s="19" t="s">
        <v>42</v>
      </c>
      <c r="E112" s="20" t="s">
        <v>22</v>
      </c>
      <c r="F112" s="21" t="n">
        <v>1097.73</v>
      </c>
      <c r="G112" s="11" t="n">
        <v>1175</v>
      </c>
      <c r="H112" s="19" t="s">
        <v>38</v>
      </c>
      <c r="I112" s="19" t="s">
        <v>34</v>
      </c>
      <c r="J112" s="22" t="n">
        <f aca="false">IF(E112="ENTRADA",F112-G112,G112-F112)</f>
        <v>77.27</v>
      </c>
      <c r="K112" s="23" t="n">
        <f aca="false">IFERROR(IF(G112=0,0,J112/G112),0)</f>
        <v>0.0657617021276596</v>
      </c>
      <c r="L112" s="24" t="n">
        <v>1.921</v>
      </c>
      <c r="M112" s="25" t="s">
        <v>25</v>
      </c>
      <c r="N112" s="23" t="n">
        <f aca="false">IFERROR(IF(E112="ENTRADA",IF(G112=0,1,MIN(F112/G112,2)),IF(G112=0,1,MAX(1-ABS(J112)/G112,0))),0)</f>
        <v>0.934238297872341</v>
      </c>
      <c r="O112" s="26" t="n">
        <v>87</v>
      </c>
    </row>
    <row r="113" customFormat="false" ht="18.75" hidden="false" customHeight="true" outlineLevel="0" collapsed="false">
      <c r="A113" s="6" t="s">
        <v>182</v>
      </c>
      <c r="B113" s="7" t="s">
        <v>55</v>
      </c>
      <c r="C113" s="8" t="s">
        <v>27</v>
      </c>
      <c r="D113" s="8" t="s">
        <v>146</v>
      </c>
      <c r="E113" s="9" t="s">
        <v>22</v>
      </c>
      <c r="F113" s="10" t="n">
        <v>139.58</v>
      </c>
      <c r="G113" s="11" t="n">
        <v>240</v>
      </c>
      <c r="H113" s="8" t="s">
        <v>33</v>
      </c>
      <c r="I113" s="8" t="s">
        <v>24</v>
      </c>
      <c r="J113" s="12" t="n">
        <f aca="false">IF(E113="ENTRADA",F113-G113,G113-F113)</f>
        <v>100.42</v>
      </c>
      <c r="K113" s="13" t="n">
        <f aca="false">IFERROR(IF(G113=0,0,J113/G113),0)</f>
        <v>0.418416666666667</v>
      </c>
      <c r="L113" s="14" t="n">
        <v>-0.425</v>
      </c>
      <c r="M113" s="15" t="s">
        <v>25</v>
      </c>
      <c r="N113" s="13" t="n">
        <f aca="false">IFERROR(IF(E113="ENTRADA",IF(G113=0,1,MIN(F113/G113,2)),IF(G113=0,1,MAX(1-ABS(J113)/G113,0))),0)</f>
        <v>0.581583333333333</v>
      </c>
      <c r="O113" s="16" t="n">
        <v>90</v>
      </c>
    </row>
    <row r="114" customFormat="false" ht="18.75" hidden="false" customHeight="true" outlineLevel="0" collapsed="false">
      <c r="A114" s="17" t="s">
        <v>183</v>
      </c>
      <c r="B114" s="18" t="s">
        <v>73</v>
      </c>
      <c r="C114" s="19" t="s">
        <v>36</v>
      </c>
      <c r="D114" s="19" t="s">
        <v>115</v>
      </c>
      <c r="E114" s="20" t="s">
        <v>22</v>
      </c>
      <c r="F114" s="21" t="n">
        <v>75.15</v>
      </c>
      <c r="G114" s="11" t="n">
        <v>80</v>
      </c>
      <c r="H114" s="19" t="s">
        <v>29</v>
      </c>
      <c r="I114" s="19" t="s">
        <v>34</v>
      </c>
      <c r="J114" s="22" t="n">
        <f aca="false">IF(E114="ENTRADA",F114-G114,G114-F114)</f>
        <v>4.84999999999999</v>
      </c>
      <c r="K114" s="23" t="n">
        <f aca="false">IFERROR(IF(G114=0,0,J114/G114),0)</f>
        <v>0.0606249999999999</v>
      </c>
      <c r="L114" s="24" t="n">
        <v>-0.582</v>
      </c>
      <c r="M114" s="25" t="s">
        <v>25</v>
      </c>
      <c r="N114" s="23" t="n">
        <f aca="false">IFERROR(IF(E114="ENTRADA",IF(G114=0,1,MIN(F114/G114,2)),IF(G114=0,1,MAX(1-ABS(J114)/G114,0))),0)</f>
        <v>0.939375</v>
      </c>
      <c r="O114" s="26" t="n">
        <v>127</v>
      </c>
    </row>
    <row r="115" customFormat="false" ht="18.75" hidden="false" customHeight="true" outlineLevel="0" collapsed="false">
      <c r="A115" s="6" t="s">
        <v>184</v>
      </c>
      <c r="B115" s="7" t="s">
        <v>131</v>
      </c>
      <c r="C115" s="8" t="s">
        <v>52</v>
      </c>
      <c r="D115" s="8" t="s">
        <v>58</v>
      </c>
      <c r="E115" s="9" t="s">
        <v>22</v>
      </c>
      <c r="F115" s="10" t="n">
        <v>301.49</v>
      </c>
      <c r="G115" s="11" t="n">
        <v>225</v>
      </c>
      <c r="H115" s="8" t="s">
        <v>43</v>
      </c>
      <c r="I115" s="8" t="s">
        <v>24</v>
      </c>
      <c r="J115" s="12" t="n">
        <f aca="false">IF(E115="ENTRADA",F115-G115,G115-F115)</f>
        <v>-76.49</v>
      </c>
      <c r="K115" s="13" t="n">
        <f aca="false">IFERROR(IF(G115=0,0,J115/G115),0)</f>
        <v>-0.339955555555556</v>
      </c>
      <c r="L115" s="14" t="n">
        <v>-0.028</v>
      </c>
      <c r="M115" s="15" t="s">
        <v>25</v>
      </c>
      <c r="N115" s="13" t="n">
        <f aca="false">IFERROR(IF(E115="ENTRADA",IF(G115=0,1,MIN(F115/G115,2)),IF(G115=0,1,MAX(1-ABS(J115)/G115,0))),0)</f>
        <v>0.660044444444444</v>
      </c>
      <c r="O115" s="16" t="n">
        <v>113</v>
      </c>
    </row>
    <row r="116" customFormat="false" ht="18.75" hidden="false" customHeight="true" outlineLevel="0" collapsed="false">
      <c r="A116" s="17" t="s">
        <v>185</v>
      </c>
      <c r="B116" s="18" t="s">
        <v>186</v>
      </c>
      <c r="C116" s="19" t="s">
        <v>46</v>
      </c>
      <c r="D116" s="19" t="s">
        <v>47</v>
      </c>
      <c r="E116" s="27" t="s">
        <v>48</v>
      </c>
      <c r="F116" s="21" t="n">
        <v>8130.74</v>
      </c>
      <c r="G116" s="11" t="n">
        <v>8500</v>
      </c>
      <c r="H116" s="19" t="s">
        <v>29</v>
      </c>
      <c r="I116" s="19" t="s">
        <v>34</v>
      </c>
      <c r="J116" s="22" t="n">
        <f aca="false">IF(E116="ENTRADA",F116-G116,G116-F116)</f>
        <v>-369.26</v>
      </c>
      <c r="K116" s="23" t="n">
        <f aca="false">IFERROR(IF(G116=0,0,J116/G116),0)</f>
        <v>-0.0434423529411765</v>
      </c>
      <c r="L116" s="24" t="n">
        <v>0</v>
      </c>
      <c r="M116" s="26" t="s">
        <v>49</v>
      </c>
      <c r="N116" s="23" t="n">
        <f aca="false">IFERROR(IF(E116="ENTRADA",IF(G116=0,1,MIN(F116/G116,2)),IF(G116=0,1,MAX(1-ABS(J116)/G116,0))),0)</f>
        <v>0.956557647058824</v>
      </c>
      <c r="O116" s="26" t="n">
        <v>108</v>
      </c>
    </row>
    <row r="117" customFormat="false" ht="18.75" hidden="false" customHeight="true" outlineLevel="0" collapsed="false">
      <c r="A117" s="6" t="s">
        <v>187</v>
      </c>
      <c r="B117" s="7" t="s">
        <v>84</v>
      </c>
      <c r="C117" s="8" t="s">
        <v>85</v>
      </c>
      <c r="D117" s="8" t="s">
        <v>102</v>
      </c>
      <c r="E117" s="9" t="s">
        <v>22</v>
      </c>
      <c r="F117" s="10" t="n">
        <v>489.25</v>
      </c>
      <c r="G117" s="11" t="n">
        <v>625</v>
      </c>
      <c r="H117" s="8" t="s">
        <v>29</v>
      </c>
      <c r="I117" s="8" t="s">
        <v>34</v>
      </c>
      <c r="J117" s="12" t="n">
        <f aca="false">IF(E117="ENTRADA",F117-G117,G117-F117)</f>
        <v>135.75</v>
      </c>
      <c r="K117" s="13" t="n">
        <f aca="false">IFERROR(IF(G117=0,0,J117/G117),0)</f>
        <v>0.2172</v>
      </c>
      <c r="L117" s="14" t="n">
        <v>0.432</v>
      </c>
      <c r="M117" s="15" t="s">
        <v>25</v>
      </c>
      <c r="N117" s="13" t="n">
        <f aca="false">IFERROR(IF(E117="ENTRADA",IF(G117=0,1,MIN(F117/G117,2)),IF(G117=0,1,MAX(1-ABS(J117)/G117,0))),0)</f>
        <v>0.7828</v>
      </c>
      <c r="O117" s="16" t="n">
        <v>131</v>
      </c>
    </row>
    <row r="118" customFormat="false" ht="18.75" hidden="false" customHeight="true" outlineLevel="0" collapsed="false">
      <c r="A118" s="17" t="s">
        <v>188</v>
      </c>
      <c r="B118" s="18" t="s">
        <v>144</v>
      </c>
      <c r="C118" s="19" t="s">
        <v>31</v>
      </c>
      <c r="D118" s="19" t="s">
        <v>189</v>
      </c>
      <c r="E118" s="20" t="s">
        <v>22</v>
      </c>
      <c r="F118" s="21" t="n">
        <v>228.46</v>
      </c>
      <c r="G118" s="11" t="n">
        <v>280</v>
      </c>
      <c r="H118" s="19" t="s">
        <v>23</v>
      </c>
      <c r="I118" s="19" t="s">
        <v>34</v>
      </c>
      <c r="J118" s="22" t="n">
        <f aca="false">IF(E118="ENTRADA",F118-G118,G118-F118)</f>
        <v>51.54</v>
      </c>
      <c r="K118" s="23" t="n">
        <f aca="false">IFERROR(IF(G118=0,0,J118/G118),0)</f>
        <v>0.184071428571429</v>
      </c>
      <c r="L118" s="24" t="n">
        <v>-0.207</v>
      </c>
      <c r="M118" s="25" t="s">
        <v>25</v>
      </c>
      <c r="N118" s="23" t="n">
        <f aca="false">IFERROR(IF(E118="ENTRADA",IF(G118=0,1,MIN(F118/G118,2)),IF(G118=0,1,MAX(1-ABS(J118)/G118,0))),0)</f>
        <v>0.815928571428571</v>
      </c>
      <c r="O118" s="26" t="n">
        <v>123</v>
      </c>
    </row>
    <row r="119" customFormat="false" ht="18.75" hidden="false" customHeight="true" outlineLevel="0" collapsed="false">
      <c r="A119" s="6" t="s">
        <v>190</v>
      </c>
      <c r="B119" s="7" t="s">
        <v>67</v>
      </c>
      <c r="C119" s="8" t="s">
        <v>46</v>
      </c>
      <c r="D119" s="8" t="s">
        <v>68</v>
      </c>
      <c r="E119" s="28" t="s">
        <v>48</v>
      </c>
      <c r="F119" s="10" t="n">
        <v>1290.98</v>
      </c>
      <c r="G119" s="10" t="n">
        <v>0</v>
      </c>
      <c r="H119" s="8" t="s">
        <v>43</v>
      </c>
      <c r="I119" s="8" t="s">
        <v>24</v>
      </c>
      <c r="J119" s="12" t="n">
        <f aca="false">IF(E119="ENTRADA",F119-G119,G119-F119)</f>
        <v>1290.98</v>
      </c>
      <c r="K119" s="13" t="n">
        <f aca="false">IFERROR(IF(G119=0,0,J119/G119),0)</f>
        <v>0</v>
      </c>
      <c r="L119" s="14" t="n">
        <v>0</v>
      </c>
      <c r="M119" s="16" t="s">
        <v>49</v>
      </c>
      <c r="N119" s="13" t="n">
        <f aca="false">IFERROR(IF(E119="ENTRADA",IF(G119=0,1,MIN(F119/G119,2)),IF(G119=0,1,MAX(1-ABS(J119)/G119,0))),0)</f>
        <v>1</v>
      </c>
      <c r="O119" s="16" t="n">
        <v>109</v>
      </c>
    </row>
    <row r="120" customFormat="false" ht="18.75" hidden="false" customHeight="true" outlineLevel="0" collapsed="false">
      <c r="A120" s="17" t="s">
        <v>190</v>
      </c>
      <c r="B120" s="18" t="s">
        <v>19</v>
      </c>
      <c r="C120" s="19" t="s">
        <v>20</v>
      </c>
      <c r="D120" s="19" t="s">
        <v>191</v>
      </c>
      <c r="E120" s="20" t="s">
        <v>22</v>
      </c>
      <c r="F120" s="21" t="n">
        <v>88.5</v>
      </c>
      <c r="G120" s="11" t="n">
        <v>70</v>
      </c>
      <c r="H120" s="19" t="s">
        <v>38</v>
      </c>
      <c r="I120" s="19" t="s">
        <v>34</v>
      </c>
      <c r="J120" s="22" t="n">
        <f aca="false">IF(E120="ENTRADA",F120-G120,G120-F120)</f>
        <v>-18.5</v>
      </c>
      <c r="K120" s="23" t="n">
        <f aca="false">IFERROR(IF(G120=0,0,J120/G120),0)</f>
        <v>-0.264285714285714</v>
      </c>
      <c r="L120" s="24" t="n">
        <v>-0.55</v>
      </c>
      <c r="M120" s="25" t="s">
        <v>25</v>
      </c>
      <c r="N120" s="23" t="n">
        <f aca="false">IFERROR(IF(E120="ENTRADA",IF(G120=0,1,MIN(F120/G120,2)),IF(G120=0,1,MAX(1-ABS(J120)/G120,0))),0)</f>
        <v>0.735714285714286</v>
      </c>
      <c r="O120" s="26" t="n">
        <v>120</v>
      </c>
    </row>
    <row r="121" customFormat="false" ht="18.75" hidden="false" customHeight="true" outlineLevel="0" collapsed="false">
      <c r="A121" s="6" t="s">
        <v>190</v>
      </c>
      <c r="B121" s="7" t="s">
        <v>120</v>
      </c>
      <c r="C121" s="8" t="s">
        <v>85</v>
      </c>
      <c r="D121" s="8" t="s">
        <v>91</v>
      </c>
      <c r="E121" s="9" t="s">
        <v>22</v>
      </c>
      <c r="F121" s="10" t="n">
        <v>463.5</v>
      </c>
      <c r="G121" s="11" t="n">
        <v>625</v>
      </c>
      <c r="H121" s="8" t="s">
        <v>33</v>
      </c>
      <c r="I121" s="8" t="s">
        <v>34</v>
      </c>
      <c r="J121" s="12" t="n">
        <f aca="false">IF(E121="ENTRADA",F121-G121,G121-F121)</f>
        <v>161.5</v>
      </c>
      <c r="K121" s="13" t="n">
        <f aca="false">IFERROR(IF(G121=0,0,J121/G121),0)</f>
        <v>0.2584</v>
      </c>
      <c r="L121" s="14" t="n">
        <v>0.369</v>
      </c>
      <c r="M121" s="15" t="s">
        <v>25</v>
      </c>
      <c r="N121" s="13" t="n">
        <f aca="false">IFERROR(IF(E121="ENTRADA",IF(G121=0,1,MIN(F121/G121,2)),IF(G121=0,1,MAX(1-ABS(J121)/G121,0))),0)</f>
        <v>0.7416</v>
      </c>
      <c r="O121" s="16" t="n">
        <v>132</v>
      </c>
    </row>
    <row r="122" customFormat="false" ht="18.75" hidden="false" customHeight="true" outlineLevel="0" collapsed="false">
      <c r="A122" s="17" t="s">
        <v>192</v>
      </c>
      <c r="B122" s="18" t="s">
        <v>75</v>
      </c>
      <c r="C122" s="19" t="s">
        <v>76</v>
      </c>
      <c r="D122" s="19" t="s">
        <v>151</v>
      </c>
      <c r="E122" s="20" t="s">
        <v>22</v>
      </c>
      <c r="F122" s="21" t="n">
        <v>65.74</v>
      </c>
      <c r="G122" s="11" t="n">
        <v>100</v>
      </c>
      <c r="H122" s="19" t="s">
        <v>43</v>
      </c>
      <c r="I122" s="19" t="s">
        <v>34</v>
      </c>
      <c r="J122" s="22" t="n">
        <f aca="false">IF(E122="ENTRADA",F122-G122,G122-F122)</f>
        <v>34.26</v>
      </c>
      <c r="K122" s="23" t="n">
        <f aca="false">IFERROR(IF(G122=0,0,J122/G122),0)</f>
        <v>0.3426</v>
      </c>
      <c r="L122" s="24" t="n">
        <v>-0.605</v>
      </c>
      <c r="M122" s="25" t="s">
        <v>25</v>
      </c>
      <c r="N122" s="23" t="n">
        <f aca="false">IFERROR(IF(E122="ENTRADA",IF(G122=0,1,MIN(F122/G122,2)),IF(G122=0,1,MAX(1-ABS(J122)/G122,0))),0)</f>
        <v>0.6574</v>
      </c>
      <c r="O122" s="26" t="n">
        <v>135</v>
      </c>
    </row>
    <row r="123" customFormat="false" ht="18.75" hidden="false" customHeight="true" outlineLevel="0" collapsed="false">
      <c r="A123" s="6" t="s">
        <v>193</v>
      </c>
      <c r="B123" s="7" t="s">
        <v>51</v>
      </c>
      <c r="C123" s="8" t="s">
        <v>52</v>
      </c>
      <c r="D123" s="8" t="s">
        <v>58</v>
      </c>
      <c r="E123" s="9" t="s">
        <v>22</v>
      </c>
      <c r="F123" s="10" t="n">
        <v>257.74</v>
      </c>
      <c r="G123" s="11" t="n">
        <v>225</v>
      </c>
      <c r="H123" s="8" t="s">
        <v>43</v>
      </c>
      <c r="I123" s="8" t="s">
        <v>34</v>
      </c>
      <c r="J123" s="12" t="n">
        <f aca="false">IF(E123="ENTRADA",F123-G123,G123-F123)</f>
        <v>-32.74</v>
      </c>
      <c r="K123" s="13" t="n">
        <f aca="false">IFERROR(IF(G123=0,0,J123/G123),0)</f>
        <v>-0.145511111111111</v>
      </c>
      <c r="L123" s="14" t="n">
        <v>-0.135</v>
      </c>
      <c r="M123" s="15" t="s">
        <v>25</v>
      </c>
      <c r="N123" s="13" t="n">
        <f aca="false">IFERROR(IF(E123="ENTRADA",IF(G123=0,1,MIN(F123/G123,2)),IF(G123=0,1,MAX(1-ABS(J123)/G123,0))),0)</f>
        <v>0.854488888888889</v>
      </c>
      <c r="O123" s="16" t="n">
        <v>111</v>
      </c>
    </row>
    <row r="124" customFormat="false" ht="18.75" hidden="false" customHeight="true" outlineLevel="0" collapsed="false">
      <c r="A124" s="17" t="s">
        <v>193</v>
      </c>
      <c r="B124" s="18" t="s">
        <v>26</v>
      </c>
      <c r="C124" s="19" t="s">
        <v>27</v>
      </c>
      <c r="D124" s="19" t="s">
        <v>80</v>
      </c>
      <c r="E124" s="20" t="s">
        <v>22</v>
      </c>
      <c r="F124" s="21" t="n">
        <v>423.35</v>
      </c>
      <c r="G124" s="11" t="n">
        <v>360</v>
      </c>
      <c r="H124" s="19" t="s">
        <v>43</v>
      </c>
      <c r="I124" s="19" t="s">
        <v>24</v>
      </c>
      <c r="J124" s="22" t="n">
        <f aca="false">IF(E124="ENTRADA",F124-G124,G124-F124)</f>
        <v>-63.35</v>
      </c>
      <c r="K124" s="23" t="n">
        <f aca="false">IFERROR(IF(G124=0,0,J124/G124),0)</f>
        <v>-0.175972222222222</v>
      </c>
      <c r="L124" s="24" t="n">
        <v>0.27</v>
      </c>
      <c r="M124" s="25" t="s">
        <v>25</v>
      </c>
      <c r="N124" s="23" t="n">
        <f aca="false">IFERROR(IF(E124="ENTRADA",IF(G124=0,1,MIN(F124/G124,2)),IF(G124=0,1,MAX(1-ABS(J124)/G124,0))),0)</f>
        <v>0.824027777777778</v>
      </c>
      <c r="O124" s="26" t="n">
        <v>121</v>
      </c>
    </row>
    <row r="125" customFormat="false" ht="18.75" hidden="false" customHeight="true" outlineLevel="0" collapsed="false">
      <c r="A125" s="6" t="s">
        <v>193</v>
      </c>
      <c r="B125" s="7" t="s">
        <v>73</v>
      </c>
      <c r="C125" s="8" t="s">
        <v>36</v>
      </c>
      <c r="D125" s="8" t="s">
        <v>37</v>
      </c>
      <c r="E125" s="9" t="s">
        <v>22</v>
      </c>
      <c r="F125" s="10" t="n">
        <v>72.07</v>
      </c>
      <c r="G125" s="11" t="n">
        <v>80</v>
      </c>
      <c r="H125" s="8" t="s">
        <v>33</v>
      </c>
      <c r="I125" s="8" t="s">
        <v>24</v>
      </c>
      <c r="J125" s="12" t="n">
        <f aca="false">IF(E125="ENTRADA",F125-G125,G125-F125)</f>
        <v>7.93000000000001</v>
      </c>
      <c r="K125" s="13" t="n">
        <f aca="false">IFERROR(IF(G125=0,0,J125/G125),0)</f>
        <v>0.0991250000000001</v>
      </c>
      <c r="L125" s="14" t="n">
        <v>-0.59</v>
      </c>
      <c r="M125" s="15" t="s">
        <v>25</v>
      </c>
      <c r="N125" s="13" t="n">
        <f aca="false">IFERROR(IF(E125="ENTRADA",IF(G125=0,1,MIN(F125/G125,2)),IF(G125=0,1,MAX(1-ABS(J125)/G125,0))),0)</f>
        <v>0.900875</v>
      </c>
      <c r="O125" s="16" t="n">
        <v>124</v>
      </c>
    </row>
    <row r="126" customFormat="false" ht="18.75" hidden="false" customHeight="true" outlineLevel="0" collapsed="false">
      <c r="A126" s="17" t="s">
        <v>194</v>
      </c>
      <c r="B126" s="18" t="s">
        <v>131</v>
      </c>
      <c r="C126" s="19" t="s">
        <v>52</v>
      </c>
      <c r="D126" s="19" t="s">
        <v>58</v>
      </c>
      <c r="E126" s="20" t="s">
        <v>22</v>
      </c>
      <c r="F126" s="21" t="n">
        <v>126.44</v>
      </c>
      <c r="G126" s="11" t="n">
        <v>225</v>
      </c>
      <c r="H126" s="19" t="s">
        <v>29</v>
      </c>
      <c r="I126" s="19" t="s">
        <v>24</v>
      </c>
      <c r="J126" s="22" t="n">
        <f aca="false">IF(E126="ENTRADA",F126-G126,G126-F126)</f>
        <v>98.56</v>
      </c>
      <c r="K126" s="23" t="n">
        <f aca="false">IFERROR(IF(G126=0,0,J126/G126),0)</f>
        <v>0.438044444444444</v>
      </c>
      <c r="L126" s="24" t="n">
        <v>-0.457</v>
      </c>
      <c r="M126" s="25" t="s">
        <v>25</v>
      </c>
      <c r="N126" s="23" t="n">
        <f aca="false">IFERROR(IF(E126="ENTRADA",IF(G126=0,1,MIN(F126/G126,2)),IF(G126=0,1,MAX(1-ABS(J126)/G126,0))),0)</f>
        <v>0.561955555555556</v>
      </c>
      <c r="O126" s="26" t="n">
        <v>110</v>
      </c>
    </row>
    <row r="127" customFormat="false" ht="18.75" hidden="false" customHeight="true" outlineLevel="0" collapsed="false">
      <c r="A127" s="6" t="s">
        <v>194</v>
      </c>
      <c r="B127" s="7" t="s">
        <v>19</v>
      </c>
      <c r="C127" s="8" t="s">
        <v>20</v>
      </c>
      <c r="D127" s="8" t="s">
        <v>129</v>
      </c>
      <c r="E127" s="9" t="s">
        <v>22</v>
      </c>
      <c r="F127" s="10" t="n">
        <v>87.46</v>
      </c>
      <c r="G127" s="11" t="n">
        <v>70</v>
      </c>
      <c r="H127" s="8" t="s">
        <v>38</v>
      </c>
      <c r="I127" s="8" t="s">
        <v>24</v>
      </c>
      <c r="J127" s="12" t="n">
        <f aca="false">IF(E127="ENTRADA",F127-G127,G127-F127)</f>
        <v>-17.46</v>
      </c>
      <c r="K127" s="13" t="n">
        <f aca="false">IFERROR(IF(G127=0,0,J127/G127),0)</f>
        <v>-0.249428571428571</v>
      </c>
      <c r="L127" s="14" t="n">
        <v>-0.552</v>
      </c>
      <c r="M127" s="15" t="s">
        <v>25</v>
      </c>
      <c r="N127" s="13" t="n">
        <f aca="false">IFERROR(IF(E127="ENTRADA",IF(G127=0,1,MIN(F127/G127,2)),IF(G127=0,1,MAX(1-ABS(J127)/G127,0))),0)</f>
        <v>0.750571428571429</v>
      </c>
      <c r="O127" s="16" t="n">
        <v>116</v>
      </c>
    </row>
    <row r="128" customFormat="false" ht="18.75" hidden="false" customHeight="true" outlineLevel="0" collapsed="false">
      <c r="A128" s="17" t="s">
        <v>194</v>
      </c>
      <c r="B128" s="18" t="s">
        <v>56</v>
      </c>
      <c r="C128" s="19" t="s">
        <v>27</v>
      </c>
      <c r="D128" s="19" t="s">
        <v>109</v>
      </c>
      <c r="E128" s="20" t="s">
        <v>22</v>
      </c>
      <c r="F128" s="21" t="n">
        <v>310.01</v>
      </c>
      <c r="G128" s="11" t="n">
        <v>360</v>
      </c>
      <c r="H128" s="19" t="s">
        <v>29</v>
      </c>
      <c r="I128" s="19" t="s">
        <v>24</v>
      </c>
      <c r="J128" s="22" t="n">
        <f aca="false">IF(E128="ENTRADA",F128-G128,G128-F128)</f>
        <v>49.99</v>
      </c>
      <c r="K128" s="23" t="n">
        <f aca="false">IFERROR(IF(G128=0,0,J128/G128),0)</f>
        <v>0.138861111111111</v>
      </c>
      <c r="L128" s="24" t="n">
        <v>-0.007</v>
      </c>
      <c r="M128" s="25" t="s">
        <v>25</v>
      </c>
      <c r="N128" s="23" t="n">
        <f aca="false">IFERROR(IF(E128="ENTRADA",IF(G128=0,1,MIN(F128/G128,2)),IF(G128=0,1,MAX(1-ABS(J128)/G128,0))),0)</f>
        <v>0.861138888888889</v>
      </c>
      <c r="O128" s="26" t="n">
        <v>122</v>
      </c>
    </row>
    <row r="129" customFormat="false" ht="18.75" hidden="false" customHeight="true" outlineLevel="0" collapsed="false">
      <c r="A129" s="6" t="s">
        <v>195</v>
      </c>
      <c r="B129" s="7" t="s">
        <v>106</v>
      </c>
      <c r="C129" s="8" t="s">
        <v>20</v>
      </c>
      <c r="D129" s="8" t="s">
        <v>167</v>
      </c>
      <c r="E129" s="9" t="s">
        <v>22</v>
      </c>
      <c r="F129" s="10" t="n">
        <v>89.8</v>
      </c>
      <c r="G129" s="11" t="n">
        <v>70</v>
      </c>
      <c r="H129" s="8" t="s">
        <v>33</v>
      </c>
      <c r="I129" s="8" t="s">
        <v>24</v>
      </c>
      <c r="J129" s="12" t="n">
        <f aca="false">IF(E129="ENTRADA",F129-G129,G129-F129)</f>
        <v>-19.8</v>
      </c>
      <c r="K129" s="13" t="n">
        <f aca="false">IFERROR(IF(G129=0,0,J129/G129),0)</f>
        <v>-0.282857142857143</v>
      </c>
      <c r="L129" s="14" t="n">
        <v>-0.546</v>
      </c>
      <c r="M129" s="15" t="s">
        <v>25</v>
      </c>
      <c r="N129" s="13" t="n">
        <f aca="false">IFERROR(IF(E129="ENTRADA",IF(G129=0,1,MIN(F129/G129,2)),IF(G129=0,1,MAX(1-ABS(J129)/G129,0))),0)</f>
        <v>0.717142857142857</v>
      </c>
      <c r="O129" s="16" t="n">
        <v>117</v>
      </c>
    </row>
    <row r="130" customFormat="false" ht="18.75" hidden="false" customHeight="true" outlineLevel="0" collapsed="false">
      <c r="A130" s="17" t="s">
        <v>196</v>
      </c>
      <c r="B130" s="18" t="s">
        <v>70</v>
      </c>
      <c r="C130" s="19" t="s">
        <v>36</v>
      </c>
      <c r="D130" s="19" t="s">
        <v>115</v>
      </c>
      <c r="E130" s="20" t="s">
        <v>22</v>
      </c>
      <c r="F130" s="21" t="n">
        <v>43.95</v>
      </c>
      <c r="G130" s="11" t="n">
        <v>80</v>
      </c>
      <c r="H130" s="19" t="s">
        <v>29</v>
      </c>
      <c r="I130" s="19" t="s">
        <v>24</v>
      </c>
      <c r="J130" s="22" t="n">
        <f aca="false">IF(E130="ENTRADA",F130-G130,G130-F130)</f>
        <v>36.05</v>
      </c>
      <c r="K130" s="23" t="n">
        <f aca="false">IFERROR(IF(G130=0,0,J130/G130),0)</f>
        <v>0.450625</v>
      </c>
      <c r="L130" s="24" t="n">
        <v>-0.659</v>
      </c>
      <c r="M130" s="25" t="s">
        <v>25</v>
      </c>
      <c r="N130" s="23" t="n">
        <f aca="false">IFERROR(IF(E130="ENTRADA",IF(G130=0,1,MIN(F130/G130,2)),IF(G130=0,1,MAX(1-ABS(J130)/G130,0))),0)</f>
        <v>0.549375</v>
      </c>
      <c r="O130" s="26" t="n">
        <v>126</v>
      </c>
    </row>
    <row r="131" customFormat="false" ht="18.75" hidden="false" customHeight="true" outlineLevel="0" collapsed="false">
      <c r="A131" s="6" t="s">
        <v>197</v>
      </c>
      <c r="B131" s="7" t="s">
        <v>180</v>
      </c>
      <c r="C131" s="8" t="s">
        <v>85</v>
      </c>
      <c r="D131" s="8" t="s">
        <v>86</v>
      </c>
      <c r="E131" s="9" t="s">
        <v>22</v>
      </c>
      <c r="F131" s="10" t="n">
        <v>991.96</v>
      </c>
      <c r="G131" s="11" t="n">
        <v>625</v>
      </c>
      <c r="H131" s="8" t="s">
        <v>43</v>
      </c>
      <c r="I131" s="8" t="s">
        <v>34</v>
      </c>
      <c r="J131" s="12" t="n">
        <f aca="false">IF(E131="ENTRADA",F131-G131,G131-F131)</f>
        <v>-366.96</v>
      </c>
      <c r="K131" s="13" t="n">
        <f aca="false">IFERROR(IF(G131=0,0,J131/G131),0)</f>
        <v>-0.587136</v>
      </c>
      <c r="L131" s="14" t="n">
        <v>1.662</v>
      </c>
      <c r="M131" s="15" t="s">
        <v>25</v>
      </c>
      <c r="N131" s="13" t="n">
        <f aca="false">IFERROR(IF(E131="ENTRADA",IF(G131=0,1,MIN(F131/G131,2)),IF(G131=0,1,MAX(1-ABS(J131)/G131,0))),0)</f>
        <v>0.412864</v>
      </c>
      <c r="O131" s="16" t="n">
        <v>129</v>
      </c>
    </row>
    <row r="132" customFormat="false" ht="18.75" hidden="false" customHeight="true" outlineLevel="0" collapsed="false">
      <c r="A132" s="17" t="s">
        <v>198</v>
      </c>
      <c r="B132" s="18" t="s">
        <v>199</v>
      </c>
      <c r="C132" s="19" t="s">
        <v>41</v>
      </c>
      <c r="D132" s="19" t="s">
        <v>42</v>
      </c>
      <c r="E132" s="20" t="s">
        <v>22</v>
      </c>
      <c r="F132" s="21" t="n">
        <v>1278.63</v>
      </c>
      <c r="G132" s="11" t="n">
        <v>1175</v>
      </c>
      <c r="H132" s="19" t="s">
        <v>23</v>
      </c>
      <c r="I132" s="19" t="s">
        <v>34</v>
      </c>
      <c r="J132" s="22" t="n">
        <f aca="false">IF(E132="ENTRADA",F132-G132,G132-F132)</f>
        <v>-103.63</v>
      </c>
      <c r="K132" s="23" t="n">
        <f aca="false">IFERROR(IF(G132=0,0,J132/G132),0)</f>
        <v>-0.0881957446808512</v>
      </c>
      <c r="L132" s="29" t="n">
        <v>2.364</v>
      </c>
      <c r="M132" s="30" t="s">
        <v>200</v>
      </c>
      <c r="N132" s="23" t="n">
        <f aca="false">IFERROR(IF(E132="ENTRADA",IF(G132=0,1,MIN(F132/G132,2)),IF(G132=0,1,MAX(1-ABS(J132)/G132,0))),0)</f>
        <v>0.911804255319149</v>
      </c>
      <c r="O132" s="26" t="n">
        <v>115</v>
      </c>
    </row>
    <row r="133" customFormat="false" ht="18.75" hidden="false" customHeight="true" outlineLevel="0" collapsed="false">
      <c r="A133" s="6" t="s">
        <v>201</v>
      </c>
      <c r="B133" s="7" t="s">
        <v>155</v>
      </c>
      <c r="C133" s="8" t="s">
        <v>20</v>
      </c>
      <c r="D133" s="8" t="s">
        <v>21</v>
      </c>
      <c r="E133" s="9" t="s">
        <v>22</v>
      </c>
      <c r="F133" s="10" t="n">
        <v>64.75</v>
      </c>
      <c r="G133" s="11" t="n">
        <v>70</v>
      </c>
      <c r="H133" s="8" t="s">
        <v>29</v>
      </c>
      <c r="I133" s="8" t="s">
        <v>34</v>
      </c>
      <c r="J133" s="12" t="n">
        <f aca="false">IF(E133="ENTRADA",F133-G133,G133-F133)</f>
        <v>5.25</v>
      </c>
      <c r="K133" s="13" t="n">
        <f aca="false">IFERROR(IF(G133=0,0,J133/G133),0)</f>
        <v>0.075</v>
      </c>
      <c r="L133" s="14" t="n">
        <v>-0.608</v>
      </c>
      <c r="M133" s="15" t="s">
        <v>25</v>
      </c>
      <c r="N133" s="13" t="n">
        <f aca="false">IFERROR(IF(E133="ENTRADA",IF(G133=0,1,MIN(F133/G133,2)),IF(G133=0,1,MAX(1-ABS(J133)/G133,0))),0)</f>
        <v>0.925</v>
      </c>
      <c r="O133" s="16" t="n">
        <v>118</v>
      </c>
    </row>
    <row r="134" customFormat="false" ht="18.75" hidden="false" customHeight="true" outlineLevel="0" collapsed="false">
      <c r="A134" s="17" t="s">
        <v>201</v>
      </c>
      <c r="B134" s="18" t="s">
        <v>92</v>
      </c>
      <c r="C134" s="19" t="s">
        <v>85</v>
      </c>
      <c r="D134" s="19" t="s">
        <v>170</v>
      </c>
      <c r="E134" s="20" t="s">
        <v>22</v>
      </c>
      <c r="F134" s="21" t="n">
        <v>585.67</v>
      </c>
      <c r="G134" s="11" t="n">
        <v>625</v>
      </c>
      <c r="H134" s="19" t="s">
        <v>29</v>
      </c>
      <c r="I134" s="19" t="s">
        <v>34</v>
      </c>
      <c r="J134" s="22" t="n">
        <f aca="false">IF(E134="ENTRADA",F134-G134,G134-F134)</f>
        <v>39.33</v>
      </c>
      <c r="K134" s="23" t="n">
        <f aca="false">IFERROR(IF(G134=0,0,J134/G134),0)</f>
        <v>0.0629280000000001</v>
      </c>
      <c r="L134" s="24" t="n">
        <v>0.668</v>
      </c>
      <c r="M134" s="25" t="s">
        <v>25</v>
      </c>
      <c r="N134" s="23" t="n">
        <f aca="false">IFERROR(IF(E134="ENTRADA",IF(G134=0,1,MIN(F134/G134,2)),IF(G134=0,1,MAX(1-ABS(J134)/G134,0))),0)</f>
        <v>0.937072</v>
      </c>
      <c r="O134" s="26" t="n">
        <v>130</v>
      </c>
    </row>
    <row r="135" customFormat="false" ht="18.75" hidden="false" customHeight="true" outlineLevel="0" collapsed="false">
      <c r="A135" s="6" t="s">
        <v>202</v>
      </c>
      <c r="B135" s="7" t="s">
        <v>106</v>
      </c>
      <c r="C135" s="8" t="s">
        <v>20</v>
      </c>
      <c r="D135" s="8" t="s">
        <v>167</v>
      </c>
      <c r="E135" s="9" t="s">
        <v>22</v>
      </c>
      <c r="F135" s="10" t="n">
        <v>87.01</v>
      </c>
      <c r="G135" s="11" t="n">
        <v>70</v>
      </c>
      <c r="H135" s="8" t="s">
        <v>33</v>
      </c>
      <c r="I135" s="8" t="s">
        <v>24</v>
      </c>
      <c r="J135" s="12" t="n">
        <f aca="false">IF(E135="ENTRADA",F135-G135,G135-F135)</f>
        <v>-17.01</v>
      </c>
      <c r="K135" s="13" t="n">
        <f aca="false">IFERROR(IF(G135=0,0,J135/G135),0)</f>
        <v>-0.243</v>
      </c>
      <c r="L135" s="14" t="n">
        <v>-0.553</v>
      </c>
      <c r="M135" s="15" t="s">
        <v>25</v>
      </c>
      <c r="N135" s="13" t="n">
        <f aca="false">IFERROR(IF(E135="ENTRADA",IF(G135=0,1,MIN(F135/G135,2)),IF(G135=0,1,MAX(1-ABS(J135)/G135,0))),0)</f>
        <v>0.757</v>
      </c>
      <c r="O135" s="16" t="n">
        <v>119</v>
      </c>
    </row>
    <row r="136" customFormat="false" ht="18.75" hidden="false" customHeight="true" outlineLevel="0" collapsed="false">
      <c r="A136" s="17" t="s">
        <v>203</v>
      </c>
      <c r="B136" s="18" t="s">
        <v>88</v>
      </c>
      <c r="C136" s="19" t="s">
        <v>52</v>
      </c>
      <c r="D136" s="19" t="s">
        <v>58</v>
      </c>
      <c r="E136" s="20" t="s">
        <v>22</v>
      </c>
      <c r="F136" s="21" t="n">
        <v>263.25</v>
      </c>
      <c r="G136" s="11" t="n">
        <v>225</v>
      </c>
      <c r="H136" s="19" t="s">
        <v>38</v>
      </c>
      <c r="I136" s="19" t="s">
        <v>24</v>
      </c>
      <c r="J136" s="22" t="n">
        <f aca="false">IF(E136="ENTRADA",F136-G136,G136-F136)</f>
        <v>-38.25</v>
      </c>
      <c r="K136" s="23" t="n">
        <f aca="false">IFERROR(IF(G136=0,0,J136/G136),0)</f>
        <v>-0.17</v>
      </c>
      <c r="L136" s="24" t="n">
        <v>-0.122</v>
      </c>
      <c r="M136" s="25" t="s">
        <v>25</v>
      </c>
      <c r="N136" s="23" t="n">
        <f aca="false">IFERROR(IF(E136="ENTRADA",IF(G136=0,1,MIN(F136/G136,2)),IF(G136=0,1,MAX(1-ABS(J136)/G136,0))),0)</f>
        <v>0.83</v>
      </c>
      <c r="O136" s="26" t="n">
        <v>112</v>
      </c>
    </row>
    <row r="137" customFormat="false" ht="18.75" hidden="false" customHeight="true" outlineLevel="0" collapsed="false">
      <c r="A137" s="6" t="s">
        <v>203</v>
      </c>
      <c r="B137" s="7" t="s">
        <v>73</v>
      </c>
      <c r="C137" s="8" t="s">
        <v>36</v>
      </c>
      <c r="D137" s="8" t="s">
        <v>62</v>
      </c>
      <c r="E137" s="9" t="s">
        <v>22</v>
      </c>
      <c r="F137" s="10" t="n">
        <v>78.57</v>
      </c>
      <c r="G137" s="11" t="n">
        <v>80</v>
      </c>
      <c r="H137" s="8" t="s">
        <v>23</v>
      </c>
      <c r="I137" s="8" t="s">
        <v>34</v>
      </c>
      <c r="J137" s="12" t="n">
        <f aca="false">IF(E137="ENTRADA",F137-G137,G137-F137)</f>
        <v>1.43000000000001</v>
      </c>
      <c r="K137" s="13" t="n">
        <f aca="false">IFERROR(IF(G137=0,0,J137/G137),0)</f>
        <v>0.0178750000000001</v>
      </c>
      <c r="L137" s="14" t="n">
        <v>-0.574</v>
      </c>
      <c r="M137" s="15" t="s">
        <v>25</v>
      </c>
      <c r="N137" s="13" t="n">
        <f aca="false">IFERROR(IF(E137="ENTRADA",IF(G137=0,1,MIN(F137/G137,2)),IF(G137=0,1,MAX(1-ABS(J137)/G137,0))),0)</f>
        <v>0.982125</v>
      </c>
      <c r="O137" s="16" t="n">
        <v>125</v>
      </c>
    </row>
    <row r="138" customFormat="false" ht="18.75" hidden="false" customHeight="true" outlineLevel="0" collapsed="false">
      <c r="A138" s="17" t="s">
        <v>203</v>
      </c>
      <c r="B138" s="18" t="s">
        <v>174</v>
      </c>
      <c r="C138" s="19" t="s">
        <v>76</v>
      </c>
      <c r="D138" s="19" t="s">
        <v>125</v>
      </c>
      <c r="E138" s="20" t="s">
        <v>22</v>
      </c>
      <c r="F138" s="21" t="n">
        <v>59.3</v>
      </c>
      <c r="G138" s="11" t="n">
        <v>100</v>
      </c>
      <c r="H138" s="19" t="s">
        <v>29</v>
      </c>
      <c r="I138" s="19" t="s">
        <v>24</v>
      </c>
      <c r="J138" s="22" t="n">
        <f aca="false">IF(E138="ENTRADA",F138-G138,G138-F138)</f>
        <v>40.7</v>
      </c>
      <c r="K138" s="23" t="n">
        <f aca="false">IFERROR(IF(G138=0,0,J138/G138),0)</f>
        <v>0.407</v>
      </c>
      <c r="L138" s="24" t="n">
        <v>-0.621</v>
      </c>
      <c r="M138" s="25" t="s">
        <v>25</v>
      </c>
      <c r="N138" s="23" t="n">
        <f aca="false">IFERROR(IF(E138="ENTRADA",IF(G138=0,1,MIN(F138/G138,2)),IF(G138=0,1,MAX(1-ABS(J138)/G138,0))),0)</f>
        <v>0.593</v>
      </c>
      <c r="O138" s="26" t="n">
        <v>133</v>
      </c>
    </row>
    <row r="139" customFormat="false" ht="18.75" hidden="false" customHeight="true" outlineLevel="0" collapsed="false">
      <c r="A139" s="6" t="s">
        <v>204</v>
      </c>
      <c r="B139" s="7" t="s">
        <v>113</v>
      </c>
      <c r="C139" s="8" t="s">
        <v>41</v>
      </c>
      <c r="D139" s="8" t="s">
        <v>111</v>
      </c>
      <c r="E139" s="9" t="s">
        <v>22</v>
      </c>
      <c r="F139" s="10" t="n">
        <v>667.58</v>
      </c>
      <c r="G139" s="11" t="n">
        <v>1175</v>
      </c>
      <c r="H139" s="8" t="s">
        <v>23</v>
      </c>
      <c r="I139" s="8" t="s">
        <v>34</v>
      </c>
      <c r="J139" s="12" t="n">
        <f aca="false">IF(E139="ENTRADA",F139-G139,G139-F139)</f>
        <v>507.42</v>
      </c>
      <c r="K139" s="13" t="n">
        <f aca="false">IFERROR(IF(G139=0,0,J139/G139),0)</f>
        <v>0.431846808510638</v>
      </c>
      <c r="L139" s="14" t="n">
        <v>0.868</v>
      </c>
      <c r="M139" s="15" t="s">
        <v>25</v>
      </c>
      <c r="N139" s="13" t="n">
        <f aca="false">IFERROR(IF(E139="ENTRADA",IF(G139=0,1,MIN(F139/G139,2)),IF(G139=0,1,MAX(1-ABS(J139)/G139,0))),0)</f>
        <v>0.568153191489362</v>
      </c>
      <c r="O139" s="16" t="n">
        <v>114</v>
      </c>
    </row>
    <row r="140" customFormat="false" ht="18.75" hidden="false" customHeight="true" outlineLevel="0" collapsed="false">
      <c r="A140" s="17" t="s">
        <v>205</v>
      </c>
      <c r="B140" s="18" t="s">
        <v>73</v>
      </c>
      <c r="C140" s="19" t="s">
        <v>36</v>
      </c>
      <c r="D140" s="19" t="s">
        <v>71</v>
      </c>
      <c r="E140" s="20" t="s">
        <v>22</v>
      </c>
      <c r="F140" s="21" t="n">
        <v>65.52</v>
      </c>
      <c r="G140" s="11" t="n">
        <v>80</v>
      </c>
      <c r="H140" s="19" t="s">
        <v>23</v>
      </c>
      <c r="I140" s="19" t="s">
        <v>34</v>
      </c>
      <c r="J140" s="22" t="n">
        <f aca="false">IF(E140="ENTRADA",F140-G140,G140-F140)</f>
        <v>14.48</v>
      </c>
      <c r="K140" s="23" t="n">
        <f aca="false">IFERROR(IF(G140=0,0,J140/G140),0)</f>
        <v>0.181</v>
      </c>
      <c r="L140" s="24" t="n">
        <v>-0.606</v>
      </c>
      <c r="M140" s="25" t="s">
        <v>25</v>
      </c>
      <c r="N140" s="23" t="n">
        <f aca="false">IFERROR(IF(E140="ENTRADA",IF(G140=0,1,MIN(F140/G140,2)),IF(G140=0,1,MAX(1-ABS(J140)/G140,0))),0)</f>
        <v>0.819</v>
      </c>
      <c r="O140" s="26" t="n">
        <v>128</v>
      </c>
    </row>
    <row r="141" customFormat="false" ht="18.75" hidden="false" customHeight="true" outlineLevel="0" collapsed="false">
      <c r="A141" s="6" t="s">
        <v>205</v>
      </c>
      <c r="B141" s="7" t="s">
        <v>134</v>
      </c>
      <c r="C141" s="8" t="s">
        <v>76</v>
      </c>
      <c r="D141" s="8" t="s">
        <v>77</v>
      </c>
      <c r="E141" s="9" t="s">
        <v>22</v>
      </c>
      <c r="F141" s="10" t="n">
        <v>66.91</v>
      </c>
      <c r="G141" s="11" t="n">
        <v>100</v>
      </c>
      <c r="H141" s="8" t="s">
        <v>43</v>
      </c>
      <c r="I141" s="8" t="s">
        <v>34</v>
      </c>
      <c r="J141" s="12" t="n">
        <f aca="false">IF(E141="ENTRADA",F141-G141,G141-F141)</f>
        <v>33.09</v>
      </c>
      <c r="K141" s="13" t="n">
        <f aca="false">IFERROR(IF(G141=0,0,J141/G141),0)</f>
        <v>0.3309</v>
      </c>
      <c r="L141" s="14" t="n">
        <v>-0.602</v>
      </c>
      <c r="M141" s="15" t="s">
        <v>25</v>
      </c>
      <c r="N141" s="13" t="n">
        <f aca="false">IFERROR(IF(E141="ENTRADA",IF(G141=0,1,MIN(F141/G141,2)),IF(G141=0,1,MAX(1-ABS(J141)/G141,0))),0)</f>
        <v>0.6691</v>
      </c>
      <c r="O141" s="16" t="n">
        <v>134</v>
      </c>
    </row>
    <row r="142" customFormat="false" ht="18.75" hidden="false" customHeight="true" outlineLevel="0" collapsed="false">
      <c r="A142" s="17" t="s">
        <v>206</v>
      </c>
      <c r="B142" s="18" t="s">
        <v>138</v>
      </c>
      <c r="C142" s="19" t="s">
        <v>27</v>
      </c>
      <c r="D142" s="19" t="s">
        <v>123</v>
      </c>
      <c r="E142" s="20" t="s">
        <v>22</v>
      </c>
      <c r="F142" s="21" t="n">
        <v>82.61</v>
      </c>
      <c r="G142" s="11" t="n">
        <v>144</v>
      </c>
      <c r="H142" s="19" t="s">
        <v>43</v>
      </c>
      <c r="I142" s="19" t="s">
        <v>24</v>
      </c>
      <c r="J142" s="22" t="n">
        <f aca="false">IF(E142="ENTRADA",F142-G142,G142-F142)</f>
        <v>61.39</v>
      </c>
      <c r="K142" s="23" t="n">
        <f aca="false">IFERROR(IF(G142=0,0,J142/G142),0)</f>
        <v>0.426319444444445</v>
      </c>
      <c r="L142" s="24" t="n">
        <v>-0.564</v>
      </c>
      <c r="M142" s="25" t="s">
        <v>25</v>
      </c>
      <c r="N142" s="23" t="n">
        <f aca="false">IFERROR(IF(E142="ENTRADA",IF(G142=0,1,MIN(F142/G142,2)),IF(G142=0,1,MAX(1-ABS(J142)/G142,0))),0)</f>
        <v>0.573680555555556</v>
      </c>
      <c r="O142" s="26" t="n">
        <v>146</v>
      </c>
    </row>
    <row r="143" customFormat="false" ht="18.75" hidden="false" customHeight="true" outlineLevel="0" collapsed="false">
      <c r="A143" s="6" t="s">
        <v>207</v>
      </c>
      <c r="B143" s="7" t="s">
        <v>70</v>
      </c>
      <c r="C143" s="8" t="s">
        <v>36</v>
      </c>
      <c r="D143" s="8" t="s">
        <v>62</v>
      </c>
      <c r="E143" s="9" t="s">
        <v>22</v>
      </c>
      <c r="F143" s="10" t="n">
        <v>99.45</v>
      </c>
      <c r="G143" s="11" t="n">
        <v>100</v>
      </c>
      <c r="H143" s="8" t="s">
        <v>29</v>
      </c>
      <c r="I143" s="8" t="s">
        <v>34</v>
      </c>
      <c r="J143" s="12" t="n">
        <f aca="false">IF(E143="ENTRADA",F143-G143,G143-F143)</f>
        <v>0.549999999999997</v>
      </c>
      <c r="K143" s="13" t="n">
        <f aca="false">IFERROR(IF(G143=0,0,J143/G143),0)</f>
        <v>0.00549999999999997</v>
      </c>
      <c r="L143" s="14" t="n">
        <v>-0.523</v>
      </c>
      <c r="M143" s="15" t="s">
        <v>25</v>
      </c>
      <c r="N143" s="13" t="n">
        <f aca="false">IFERROR(IF(E143="ENTRADA",IF(G143=0,1,MIN(F143/G143,2)),IF(G143=0,1,MAX(1-ABS(J143)/G143,0))),0)</f>
        <v>0.9945</v>
      </c>
      <c r="O143" s="16" t="n">
        <v>155</v>
      </c>
    </row>
    <row r="144" customFormat="false" ht="18.75" hidden="false" customHeight="true" outlineLevel="0" collapsed="false">
      <c r="A144" s="17" t="s">
        <v>208</v>
      </c>
      <c r="B144" s="18" t="s">
        <v>209</v>
      </c>
      <c r="C144" s="19" t="s">
        <v>46</v>
      </c>
      <c r="D144" s="19" t="s">
        <v>47</v>
      </c>
      <c r="E144" s="27" t="s">
        <v>48</v>
      </c>
      <c r="F144" s="21" t="n">
        <v>8748.15</v>
      </c>
      <c r="G144" s="11" t="n">
        <v>8500</v>
      </c>
      <c r="H144" s="19" t="s">
        <v>29</v>
      </c>
      <c r="I144" s="19" t="s">
        <v>34</v>
      </c>
      <c r="J144" s="22" t="n">
        <f aca="false">IF(E144="ENTRADA",F144-G144,G144-F144)</f>
        <v>248.15</v>
      </c>
      <c r="K144" s="23" t="n">
        <f aca="false">IFERROR(IF(G144=0,0,J144/G144),0)</f>
        <v>0.0291941176470588</v>
      </c>
      <c r="L144" s="24" t="n">
        <v>0</v>
      </c>
      <c r="M144" s="26" t="s">
        <v>49</v>
      </c>
      <c r="N144" s="23" t="n">
        <f aca="false">IFERROR(IF(E144="ENTRADA",IF(G144=0,1,MIN(F144/G144,2)),IF(G144=0,1,MAX(1-ABS(J144)/G144,0))),0)</f>
        <v>1.02919411764706</v>
      </c>
      <c r="O144" s="26" t="n">
        <v>136</v>
      </c>
    </row>
    <row r="145" customFormat="false" ht="18.75" hidden="false" customHeight="true" outlineLevel="0" collapsed="false">
      <c r="A145" s="6" t="s">
        <v>210</v>
      </c>
      <c r="B145" s="7" t="s">
        <v>19</v>
      </c>
      <c r="C145" s="8" t="s">
        <v>20</v>
      </c>
      <c r="D145" s="8" t="s">
        <v>99</v>
      </c>
      <c r="E145" s="9" t="s">
        <v>22</v>
      </c>
      <c r="F145" s="10" t="n">
        <v>68.52</v>
      </c>
      <c r="G145" s="11" t="n">
        <v>116.67</v>
      </c>
      <c r="H145" s="8" t="s">
        <v>43</v>
      </c>
      <c r="I145" s="8" t="s">
        <v>34</v>
      </c>
      <c r="J145" s="12" t="n">
        <f aca="false">IF(E145="ENTRADA",F145-G145,G145-F145)</f>
        <v>48.15</v>
      </c>
      <c r="K145" s="13" t="n">
        <f aca="false">IFERROR(IF(G145=0,0,J145/G145),0)</f>
        <v>0.412702494214451</v>
      </c>
      <c r="L145" s="14" t="n">
        <v>-0.598</v>
      </c>
      <c r="M145" s="15" t="s">
        <v>25</v>
      </c>
      <c r="N145" s="13" t="n">
        <f aca="false">IFERROR(IF(E145="ENTRADA",IF(G145=0,1,MIN(F145/G145,2)),IF(G145=0,1,MAX(1-ABS(J145)/G145,0))),0)</f>
        <v>0.587297505785549</v>
      </c>
      <c r="O145" s="16" t="n">
        <v>140</v>
      </c>
    </row>
    <row r="146" customFormat="false" ht="18.75" hidden="false" customHeight="true" outlineLevel="0" collapsed="false">
      <c r="A146" s="17" t="s">
        <v>211</v>
      </c>
      <c r="B146" s="18" t="s">
        <v>61</v>
      </c>
      <c r="C146" s="19" t="s">
        <v>36</v>
      </c>
      <c r="D146" s="19" t="s">
        <v>115</v>
      </c>
      <c r="E146" s="20" t="s">
        <v>22</v>
      </c>
      <c r="F146" s="21" t="n">
        <v>91.37</v>
      </c>
      <c r="G146" s="11" t="n">
        <v>100</v>
      </c>
      <c r="H146" s="19" t="s">
        <v>33</v>
      </c>
      <c r="I146" s="19" t="s">
        <v>24</v>
      </c>
      <c r="J146" s="22" t="n">
        <f aca="false">IF(E146="ENTRADA",F146-G146,G146-F146)</f>
        <v>8.63</v>
      </c>
      <c r="K146" s="23" t="n">
        <f aca="false">IFERROR(IF(G146=0,0,J146/G146),0)</f>
        <v>0.0863</v>
      </c>
      <c r="L146" s="24" t="n">
        <v>-0.543</v>
      </c>
      <c r="M146" s="25" t="s">
        <v>25</v>
      </c>
      <c r="N146" s="23" t="n">
        <f aca="false">IFERROR(IF(E146="ENTRADA",IF(G146=0,1,MIN(F146/G146,2)),IF(G146=0,1,MAX(1-ABS(J146)/G146,0))),0)</f>
        <v>0.9137</v>
      </c>
      <c r="O146" s="26" t="n">
        <v>153</v>
      </c>
    </row>
    <row r="147" customFormat="false" ht="18.75" hidden="false" customHeight="true" outlineLevel="0" collapsed="false">
      <c r="A147" s="6" t="s">
        <v>212</v>
      </c>
      <c r="B147" s="7" t="s">
        <v>144</v>
      </c>
      <c r="C147" s="8" t="s">
        <v>31</v>
      </c>
      <c r="D147" s="8" t="s">
        <v>32</v>
      </c>
      <c r="E147" s="9" t="s">
        <v>22</v>
      </c>
      <c r="F147" s="10" t="n">
        <v>88.27</v>
      </c>
      <c r="G147" s="11" t="n">
        <v>56</v>
      </c>
      <c r="H147" s="8" t="s">
        <v>23</v>
      </c>
      <c r="I147" s="8" t="s">
        <v>24</v>
      </c>
      <c r="J147" s="12" t="n">
        <f aca="false">IF(E147="ENTRADA",F147-G147,G147-F147)</f>
        <v>-32.27</v>
      </c>
      <c r="K147" s="13" t="n">
        <f aca="false">IFERROR(IF(G147=0,0,J147/G147),0)</f>
        <v>-0.57625</v>
      </c>
      <c r="L147" s="14" t="n">
        <v>-0.55</v>
      </c>
      <c r="M147" s="15" t="s">
        <v>25</v>
      </c>
      <c r="N147" s="13" t="n">
        <f aca="false">IFERROR(IF(E147="ENTRADA",IF(G147=0,1,MIN(F147/G147,2)),IF(G147=0,1,MAX(1-ABS(J147)/G147,0))),0)</f>
        <v>0.42375</v>
      </c>
      <c r="O147" s="16" t="n">
        <v>151</v>
      </c>
    </row>
    <row r="148" customFormat="false" ht="18.75" hidden="false" customHeight="true" outlineLevel="0" collapsed="false">
      <c r="A148" s="17" t="s">
        <v>213</v>
      </c>
      <c r="B148" s="18" t="s">
        <v>214</v>
      </c>
      <c r="C148" s="19" t="s">
        <v>76</v>
      </c>
      <c r="D148" s="19" t="s">
        <v>125</v>
      </c>
      <c r="E148" s="20" t="s">
        <v>22</v>
      </c>
      <c r="F148" s="21" t="n">
        <v>44.12</v>
      </c>
      <c r="G148" s="11" t="n">
        <v>100</v>
      </c>
      <c r="H148" s="19" t="s">
        <v>38</v>
      </c>
      <c r="I148" s="19" t="s">
        <v>34</v>
      </c>
      <c r="J148" s="22" t="n">
        <f aca="false">IF(E148="ENTRADA",F148-G148,G148-F148)</f>
        <v>55.88</v>
      </c>
      <c r="K148" s="23" t="n">
        <f aca="false">IFERROR(IF(G148=0,0,J148/G148),0)</f>
        <v>0.5588</v>
      </c>
      <c r="L148" s="24" t="n">
        <v>-0.658</v>
      </c>
      <c r="M148" s="25" t="s">
        <v>25</v>
      </c>
      <c r="N148" s="23" t="n">
        <f aca="false">IFERROR(IF(E148="ENTRADA",IF(G148=0,1,MIN(F148/G148,2)),IF(G148=0,1,MAX(1-ABS(J148)/G148,0))),0)</f>
        <v>0.4412</v>
      </c>
      <c r="O148" s="26" t="n">
        <v>160</v>
      </c>
    </row>
    <row r="149" customFormat="false" ht="18.75" hidden="false" customHeight="true" outlineLevel="0" collapsed="false">
      <c r="A149" s="6" t="s">
        <v>215</v>
      </c>
      <c r="B149" s="7" t="s">
        <v>166</v>
      </c>
      <c r="C149" s="8" t="s">
        <v>20</v>
      </c>
      <c r="D149" s="8" t="s">
        <v>99</v>
      </c>
      <c r="E149" s="9" t="s">
        <v>22</v>
      </c>
      <c r="F149" s="10" t="n">
        <v>115.56</v>
      </c>
      <c r="G149" s="11" t="n">
        <v>116.67</v>
      </c>
      <c r="H149" s="8" t="s">
        <v>43</v>
      </c>
      <c r="I149" s="8" t="s">
        <v>24</v>
      </c>
      <c r="J149" s="12" t="n">
        <f aca="false">IF(E149="ENTRADA",F149-G149,G149-F149)</f>
        <v>1.11</v>
      </c>
      <c r="K149" s="13" t="n">
        <f aca="false">IFERROR(IF(G149=0,0,J149/G149),0)</f>
        <v>0.00951401388531756</v>
      </c>
      <c r="L149" s="14" t="n">
        <v>-0.483</v>
      </c>
      <c r="M149" s="15" t="s">
        <v>25</v>
      </c>
      <c r="N149" s="13" t="n">
        <f aca="false">IFERROR(IF(E149="ENTRADA",IF(G149=0,1,MIN(F149/G149,2)),IF(G149=0,1,MAX(1-ABS(J149)/G149,0))),0)</f>
        <v>0.990485986114682</v>
      </c>
      <c r="O149" s="16" t="n">
        <v>141</v>
      </c>
    </row>
    <row r="150" customFormat="false" ht="18.75" hidden="false" customHeight="true" outlineLevel="0" collapsed="false">
      <c r="A150" s="17" t="s">
        <v>215</v>
      </c>
      <c r="B150" s="18" t="s">
        <v>120</v>
      </c>
      <c r="C150" s="19" t="s">
        <v>85</v>
      </c>
      <c r="D150" s="19" t="s">
        <v>91</v>
      </c>
      <c r="E150" s="20" t="s">
        <v>22</v>
      </c>
      <c r="F150" s="21" t="n">
        <v>3465.69</v>
      </c>
      <c r="G150" s="11" t="n">
        <v>2500</v>
      </c>
      <c r="H150" s="19" t="s">
        <v>38</v>
      </c>
      <c r="I150" s="19" t="s">
        <v>34</v>
      </c>
      <c r="J150" s="22" t="n">
        <f aca="false">IF(E150="ENTRADA",F150-G150,G150-F150)</f>
        <v>-965.69</v>
      </c>
      <c r="K150" s="23" t="n">
        <f aca="false">IFERROR(IF(G150=0,0,J150/G150),0)</f>
        <v>-0.386276</v>
      </c>
      <c r="L150" s="29" t="n">
        <v>7.719</v>
      </c>
      <c r="M150" s="30" t="s">
        <v>200</v>
      </c>
      <c r="N150" s="23" t="n">
        <f aca="false">IFERROR(IF(E150="ENTRADA",IF(G150=0,1,MIN(F150/G150,2)),IF(G150=0,1,MAX(1-ABS(J150)/G150,0))),0)</f>
        <v>0.613724</v>
      </c>
      <c r="O150" s="26" t="n">
        <v>157</v>
      </c>
    </row>
    <row r="151" customFormat="false" ht="18.75" hidden="false" customHeight="true" outlineLevel="0" collapsed="false">
      <c r="A151" s="6" t="s">
        <v>216</v>
      </c>
      <c r="B151" s="7" t="s">
        <v>59</v>
      </c>
      <c r="C151" s="8" t="s">
        <v>31</v>
      </c>
      <c r="D151" s="8" t="s">
        <v>189</v>
      </c>
      <c r="E151" s="9" t="s">
        <v>22</v>
      </c>
      <c r="F151" s="10" t="n">
        <v>58.15</v>
      </c>
      <c r="G151" s="11" t="n">
        <v>56</v>
      </c>
      <c r="H151" s="8" t="s">
        <v>33</v>
      </c>
      <c r="I151" s="8" t="s">
        <v>34</v>
      </c>
      <c r="J151" s="12" t="n">
        <f aca="false">IF(E151="ENTRADA",F151-G151,G151-F151)</f>
        <v>-2.15</v>
      </c>
      <c r="K151" s="13" t="n">
        <f aca="false">IFERROR(IF(G151=0,0,J151/G151),0)</f>
        <v>-0.0383928571428571</v>
      </c>
      <c r="L151" s="14" t="n">
        <v>-0.624</v>
      </c>
      <c r="M151" s="15" t="s">
        <v>25</v>
      </c>
      <c r="N151" s="13" t="n">
        <f aca="false">IFERROR(IF(E151="ENTRADA",IF(G151=0,1,MIN(F151/G151,2)),IF(G151=0,1,MAX(1-ABS(J151)/G151,0))),0)</f>
        <v>0.961607142857143</v>
      </c>
      <c r="O151" s="16" t="n">
        <v>152</v>
      </c>
    </row>
    <row r="152" customFormat="false" ht="18.75" hidden="false" customHeight="true" outlineLevel="0" collapsed="false">
      <c r="A152" s="17" t="s">
        <v>217</v>
      </c>
      <c r="B152" s="18" t="s">
        <v>138</v>
      </c>
      <c r="C152" s="19" t="s">
        <v>27</v>
      </c>
      <c r="D152" s="19" t="s">
        <v>80</v>
      </c>
      <c r="E152" s="20" t="s">
        <v>22</v>
      </c>
      <c r="F152" s="21" t="n">
        <v>131.14</v>
      </c>
      <c r="G152" s="11" t="n">
        <v>144</v>
      </c>
      <c r="H152" s="19" t="s">
        <v>29</v>
      </c>
      <c r="I152" s="19" t="s">
        <v>34</v>
      </c>
      <c r="J152" s="22" t="n">
        <f aca="false">IF(E152="ENTRADA",F152-G152,G152-F152)</f>
        <v>12.86</v>
      </c>
      <c r="K152" s="23" t="n">
        <f aca="false">IFERROR(IF(G152=0,0,J152/G152),0)</f>
        <v>0.0893055555555557</v>
      </c>
      <c r="L152" s="24" t="n">
        <v>-0.445</v>
      </c>
      <c r="M152" s="25" t="s">
        <v>25</v>
      </c>
      <c r="N152" s="23" t="n">
        <f aca="false">IFERROR(IF(E152="ENTRADA",IF(G152=0,1,MIN(F152/G152,2)),IF(G152=0,1,MAX(1-ABS(J152)/G152,0))),0)</f>
        <v>0.910694444444444</v>
      </c>
      <c r="O152" s="26" t="n">
        <v>147</v>
      </c>
    </row>
    <row r="153" customFormat="false" ht="18.75" hidden="false" customHeight="true" outlineLevel="0" collapsed="false">
      <c r="A153" s="6" t="s">
        <v>218</v>
      </c>
      <c r="B153" s="7" t="s">
        <v>67</v>
      </c>
      <c r="C153" s="8" t="s">
        <v>46</v>
      </c>
      <c r="D153" s="8" t="s">
        <v>68</v>
      </c>
      <c r="E153" s="28" t="s">
        <v>48</v>
      </c>
      <c r="F153" s="10" t="n">
        <v>1205.2</v>
      </c>
      <c r="G153" s="10" t="n">
        <v>0</v>
      </c>
      <c r="H153" s="8" t="s">
        <v>43</v>
      </c>
      <c r="I153" s="8" t="s">
        <v>24</v>
      </c>
      <c r="J153" s="12" t="n">
        <f aca="false">IF(E153="ENTRADA",F153-G153,G153-F153)</f>
        <v>1205.2</v>
      </c>
      <c r="K153" s="13" t="n">
        <f aca="false">IFERROR(IF(G153=0,0,J153/G153),0)</f>
        <v>0</v>
      </c>
      <c r="L153" s="14" t="n">
        <v>0</v>
      </c>
      <c r="M153" s="16" t="s">
        <v>49</v>
      </c>
      <c r="N153" s="13" t="n">
        <f aca="false">IFERROR(IF(E153="ENTRADA",IF(G153=0,1,MIN(F153/G153,2)),IF(G153=0,1,MAX(1-ABS(J153)/G153,0))),0)</f>
        <v>1</v>
      </c>
      <c r="O153" s="16" t="n">
        <v>137</v>
      </c>
    </row>
    <row r="154" customFormat="false" ht="18.75" hidden="false" customHeight="true" outlineLevel="0" collapsed="false">
      <c r="A154" s="17" t="s">
        <v>219</v>
      </c>
      <c r="B154" s="18" t="s">
        <v>104</v>
      </c>
      <c r="C154" s="19" t="s">
        <v>76</v>
      </c>
      <c r="D154" s="19" t="s">
        <v>125</v>
      </c>
      <c r="E154" s="20" t="s">
        <v>22</v>
      </c>
      <c r="F154" s="21" t="n">
        <v>44.13</v>
      </c>
      <c r="G154" s="11" t="n">
        <v>100</v>
      </c>
      <c r="H154" s="19" t="s">
        <v>33</v>
      </c>
      <c r="I154" s="19" t="s">
        <v>24</v>
      </c>
      <c r="J154" s="22" t="n">
        <f aca="false">IF(E154="ENTRADA",F154-G154,G154-F154)</f>
        <v>55.87</v>
      </c>
      <c r="K154" s="23" t="n">
        <f aca="false">IFERROR(IF(G154=0,0,J154/G154),0)</f>
        <v>0.5587</v>
      </c>
      <c r="L154" s="24" t="n">
        <v>-0.658</v>
      </c>
      <c r="M154" s="25" t="s">
        <v>25</v>
      </c>
      <c r="N154" s="23" t="n">
        <f aca="false">IFERROR(IF(E154="ENTRADA",IF(G154=0,1,MIN(F154/G154,2)),IF(G154=0,1,MAX(1-ABS(J154)/G154,0))),0)</f>
        <v>0.4413</v>
      </c>
      <c r="O154" s="26" t="n">
        <v>159</v>
      </c>
    </row>
    <row r="155" customFormat="false" ht="18.75" hidden="false" customHeight="true" outlineLevel="0" collapsed="false">
      <c r="A155" s="6" t="s">
        <v>220</v>
      </c>
      <c r="B155" s="7" t="s">
        <v>144</v>
      </c>
      <c r="C155" s="8" t="s">
        <v>31</v>
      </c>
      <c r="D155" s="8" t="s">
        <v>32</v>
      </c>
      <c r="E155" s="9" t="s">
        <v>22</v>
      </c>
      <c r="F155" s="10" t="n">
        <v>49.56</v>
      </c>
      <c r="G155" s="11" t="n">
        <v>56</v>
      </c>
      <c r="H155" s="8" t="s">
        <v>33</v>
      </c>
      <c r="I155" s="8" t="s">
        <v>24</v>
      </c>
      <c r="J155" s="12" t="n">
        <f aca="false">IF(E155="ENTRADA",F155-G155,G155-F155)</f>
        <v>6.44</v>
      </c>
      <c r="K155" s="13" t="n">
        <f aca="false">IFERROR(IF(G155=0,0,J155/G155),0)</f>
        <v>0.115</v>
      </c>
      <c r="L155" s="14" t="n">
        <v>-0.645</v>
      </c>
      <c r="M155" s="15" t="s">
        <v>25</v>
      </c>
      <c r="N155" s="13" t="n">
        <f aca="false">IFERROR(IF(E155="ENTRADA",IF(G155=0,1,MIN(F155/G155,2)),IF(G155=0,1,MAX(1-ABS(J155)/G155,0))),0)</f>
        <v>0.885</v>
      </c>
      <c r="O155" s="16" t="n">
        <v>149</v>
      </c>
    </row>
    <row r="156" customFormat="false" ht="18.75" hidden="false" customHeight="true" outlineLevel="0" collapsed="false">
      <c r="A156" s="17" t="s">
        <v>221</v>
      </c>
      <c r="B156" s="18" t="s">
        <v>64</v>
      </c>
      <c r="C156" s="19" t="s">
        <v>41</v>
      </c>
      <c r="D156" s="19" t="s">
        <v>42</v>
      </c>
      <c r="E156" s="20" t="s">
        <v>22</v>
      </c>
      <c r="F156" s="21" t="n">
        <v>3002.05</v>
      </c>
      <c r="G156" s="11" t="n">
        <v>2350</v>
      </c>
      <c r="H156" s="19" t="s">
        <v>33</v>
      </c>
      <c r="I156" s="19" t="s">
        <v>34</v>
      </c>
      <c r="J156" s="22" t="n">
        <f aca="false">IF(E156="ENTRADA",F156-G156,G156-F156)</f>
        <v>-652.05</v>
      </c>
      <c r="K156" s="23" t="n">
        <f aca="false">IFERROR(IF(G156=0,0,J156/G156),0)</f>
        <v>-0.277468085106383</v>
      </c>
      <c r="L156" s="29" t="n">
        <v>6.583</v>
      </c>
      <c r="M156" s="30" t="s">
        <v>200</v>
      </c>
      <c r="N156" s="23" t="n">
        <f aca="false">IFERROR(IF(E156="ENTRADA",IF(G156=0,1,MIN(F156/G156,2)),IF(G156=0,1,MAX(1-ABS(J156)/G156,0))),0)</f>
        <v>0.722531914893617</v>
      </c>
      <c r="O156" s="26" t="n">
        <v>139</v>
      </c>
    </row>
    <row r="157" customFormat="false" ht="18.75" hidden="false" customHeight="true" outlineLevel="0" collapsed="false">
      <c r="A157" s="6" t="s">
        <v>221</v>
      </c>
      <c r="B157" s="7" t="s">
        <v>98</v>
      </c>
      <c r="C157" s="8" t="s">
        <v>20</v>
      </c>
      <c r="D157" s="8" t="s">
        <v>129</v>
      </c>
      <c r="E157" s="9" t="s">
        <v>22</v>
      </c>
      <c r="F157" s="10" t="n">
        <v>94.18</v>
      </c>
      <c r="G157" s="11" t="n">
        <v>116.67</v>
      </c>
      <c r="H157" s="8" t="s">
        <v>38</v>
      </c>
      <c r="I157" s="8" t="s">
        <v>34</v>
      </c>
      <c r="J157" s="12" t="n">
        <f aca="false">IF(E157="ENTRADA",F157-G157,G157-F157)</f>
        <v>22.49</v>
      </c>
      <c r="K157" s="13" t="n">
        <f aca="false">IFERROR(IF(G157=0,0,J157/G157),0)</f>
        <v>0.192765920973686</v>
      </c>
      <c r="L157" s="14" t="n">
        <v>-0.536</v>
      </c>
      <c r="M157" s="15" t="s">
        <v>25</v>
      </c>
      <c r="N157" s="13" t="n">
        <f aca="false">IFERROR(IF(E157="ENTRADA",IF(G157=0,1,MIN(F157/G157,2)),IF(G157=0,1,MAX(1-ABS(J157)/G157,0))),0)</f>
        <v>0.807234079026314</v>
      </c>
      <c r="O157" s="16" t="n">
        <v>142</v>
      </c>
    </row>
    <row r="158" customFormat="false" ht="18.75" hidden="false" customHeight="true" outlineLevel="0" collapsed="false">
      <c r="A158" s="17" t="s">
        <v>222</v>
      </c>
      <c r="B158" s="18" t="s">
        <v>51</v>
      </c>
      <c r="C158" s="19" t="s">
        <v>52</v>
      </c>
      <c r="D158" s="19" t="s">
        <v>58</v>
      </c>
      <c r="E158" s="20" t="s">
        <v>22</v>
      </c>
      <c r="F158" s="21" t="n">
        <v>915.47</v>
      </c>
      <c r="G158" s="11" t="n">
        <v>900</v>
      </c>
      <c r="H158" s="19" t="s">
        <v>38</v>
      </c>
      <c r="I158" s="19" t="s">
        <v>24</v>
      </c>
      <c r="J158" s="22" t="n">
        <f aca="false">IF(E158="ENTRADA",F158-G158,G158-F158)</f>
        <v>-15.47</v>
      </c>
      <c r="K158" s="23" t="n">
        <f aca="false">IFERROR(IF(G158=0,0,J158/G158),0)</f>
        <v>-0.0171888888888889</v>
      </c>
      <c r="L158" s="24" t="n">
        <v>1.475</v>
      </c>
      <c r="M158" s="25" t="s">
        <v>25</v>
      </c>
      <c r="N158" s="23" t="n">
        <f aca="false">IFERROR(IF(E158="ENTRADA",IF(G158=0,1,MIN(F158/G158,2)),IF(G158=0,1,MAX(1-ABS(J158)/G158,0))),0)</f>
        <v>0.982811111111111</v>
      </c>
      <c r="O158" s="26" t="n">
        <v>138</v>
      </c>
    </row>
    <row r="159" customFormat="false" ht="18.75" hidden="false" customHeight="true" outlineLevel="0" collapsed="false">
      <c r="A159" s="6" t="s">
        <v>222</v>
      </c>
      <c r="B159" s="7" t="s">
        <v>61</v>
      </c>
      <c r="C159" s="8" t="s">
        <v>36</v>
      </c>
      <c r="D159" s="8" t="s">
        <v>37</v>
      </c>
      <c r="E159" s="9" t="s">
        <v>22</v>
      </c>
      <c r="F159" s="10" t="n">
        <v>59.01</v>
      </c>
      <c r="G159" s="11" t="n">
        <v>100</v>
      </c>
      <c r="H159" s="8" t="s">
        <v>23</v>
      </c>
      <c r="I159" s="8" t="s">
        <v>34</v>
      </c>
      <c r="J159" s="12" t="n">
        <f aca="false">IF(E159="ENTRADA",F159-G159,G159-F159)</f>
        <v>40.99</v>
      </c>
      <c r="K159" s="13" t="n">
        <f aca="false">IFERROR(IF(G159=0,0,J159/G159),0)</f>
        <v>0.4099</v>
      </c>
      <c r="L159" s="14" t="n">
        <v>-0.622</v>
      </c>
      <c r="M159" s="15" t="s">
        <v>25</v>
      </c>
      <c r="N159" s="13" t="n">
        <f aca="false">IFERROR(IF(E159="ENTRADA",IF(G159=0,1,MIN(F159/G159,2)),IF(G159=0,1,MAX(1-ABS(J159)/G159,0))),0)</f>
        <v>0.5901</v>
      </c>
      <c r="O159" s="16" t="n">
        <v>154</v>
      </c>
    </row>
    <row r="160" customFormat="false" ht="18.75" hidden="false" customHeight="true" outlineLevel="0" collapsed="false">
      <c r="A160" s="17" t="s">
        <v>223</v>
      </c>
      <c r="B160" s="18" t="s">
        <v>224</v>
      </c>
      <c r="C160" s="19" t="s">
        <v>31</v>
      </c>
      <c r="D160" s="19" t="s">
        <v>32</v>
      </c>
      <c r="E160" s="20" t="s">
        <v>22</v>
      </c>
      <c r="F160" s="21" t="n">
        <v>84.21</v>
      </c>
      <c r="G160" s="11" t="n">
        <v>56</v>
      </c>
      <c r="H160" s="19" t="s">
        <v>23</v>
      </c>
      <c r="I160" s="19" t="s">
        <v>24</v>
      </c>
      <c r="J160" s="22" t="n">
        <f aca="false">IF(E160="ENTRADA",F160-G160,G160-F160)</f>
        <v>-28.21</v>
      </c>
      <c r="K160" s="23" t="n">
        <f aca="false">IFERROR(IF(G160=0,0,J160/G160),0)</f>
        <v>-0.50375</v>
      </c>
      <c r="L160" s="24" t="n">
        <v>-0.56</v>
      </c>
      <c r="M160" s="25" t="s">
        <v>25</v>
      </c>
      <c r="N160" s="23" t="n">
        <f aca="false">IFERROR(IF(E160="ENTRADA",IF(G160=0,1,MIN(F160/G160,2)),IF(G160=0,1,MAX(1-ABS(J160)/G160,0))),0)</f>
        <v>0.49625</v>
      </c>
      <c r="O160" s="26" t="n">
        <v>148</v>
      </c>
    </row>
    <row r="161" customFormat="false" ht="18.75" hidden="false" customHeight="true" outlineLevel="0" collapsed="false">
      <c r="A161" s="6" t="s">
        <v>225</v>
      </c>
      <c r="B161" s="7" t="s">
        <v>56</v>
      </c>
      <c r="C161" s="8" t="s">
        <v>27</v>
      </c>
      <c r="D161" s="8" t="s">
        <v>28</v>
      </c>
      <c r="E161" s="9" t="s">
        <v>22</v>
      </c>
      <c r="F161" s="10" t="n">
        <v>112.95</v>
      </c>
      <c r="G161" s="11" t="n">
        <v>144</v>
      </c>
      <c r="H161" s="8" t="s">
        <v>23</v>
      </c>
      <c r="I161" s="8" t="s">
        <v>24</v>
      </c>
      <c r="J161" s="12" t="n">
        <f aca="false">IF(E161="ENTRADA",F161-G161,G161-F161)</f>
        <v>31.05</v>
      </c>
      <c r="K161" s="13" t="n">
        <f aca="false">IFERROR(IF(G161=0,0,J161/G161),0)</f>
        <v>0.215625</v>
      </c>
      <c r="L161" s="14" t="n">
        <v>-0.49</v>
      </c>
      <c r="M161" s="15" t="s">
        <v>25</v>
      </c>
      <c r="N161" s="13" t="n">
        <f aca="false">IFERROR(IF(E161="ENTRADA",IF(G161=0,1,MIN(F161/G161,2)),IF(G161=0,1,MAX(1-ABS(J161)/G161,0))),0)</f>
        <v>0.784375</v>
      </c>
      <c r="O161" s="16" t="n">
        <v>145</v>
      </c>
    </row>
    <row r="162" customFormat="false" ht="18.75" hidden="false" customHeight="true" outlineLevel="0" collapsed="false">
      <c r="A162" s="17" t="s">
        <v>225</v>
      </c>
      <c r="B162" s="18" t="s">
        <v>104</v>
      </c>
      <c r="C162" s="19" t="s">
        <v>76</v>
      </c>
      <c r="D162" s="19" t="s">
        <v>125</v>
      </c>
      <c r="E162" s="20" t="s">
        <v>22</v>
      </c>
      <c r="F162" s="21" t="n">
        <v>27.47</v>
      </c>
      <c r="G162" s="11" t="n">
        <v>100</v>
      </c>
      <c r="H162" s="19" t="s">
        <v>29</v>
      </c>
      <c r="I162" s="19" t="s">
        <v>24</v>
      </c>
      <c r="J162" s="22" t="n">
        <f aca="false">IF(E162="ENTRADA",F162-G162,G162-F162)</f>
        <v>72.53</v>
      </c>
      <c r="K162" s="23" t="n">
        <f aca="false">IFERROR(IF(G162=0,0,J162/G162),0)</f>
        <v>0.7253</v>
      </c>
      <c r="L162" s="24" t="n">
        <v>-0.699</v>
      </c>
      <c r="M162" s="25" t="s">
        <v>25</v>
      </c>
      <c r="N162" s="23" t="n">
        <f aca="false">IFERROR(IF(E162="ENTRADA",IF(G162=0,1,MIN(F162/G162,2)),IF(G162=0,1,MAX(1-ABS(J162)/G162,0))),0)</f>
        <v>0.2747</v>
      </c>
      <c r="O162" s="26" t="n">
        <v>158</v>
      </c>
    </row>
    <row r="163" customFormat="false" ht="18.75" hidden="false" customHeight="true" outlineLevel="0" collapsed="false">
      <c r="A163" s="6" t="s">
        <v>226</v>
      </c>
      <c r="B163" s="7" t="s">
        <v>26</v>
      </c>
      <c r="C163" s="8" t="s">
        <v>27</v>
      </c>
      <c r="D163" s="8" t="s">
        <v>28</v>
      </c>
      <c r="E163" s="9" t="s">
        <v>22</v>
      </c>
      <c r="F163" s="10" t="n">
        <v>172.92</v>
      </c>
      <c r="G163" s="11" t="n">
        <v>144</v>
      </c>
      <c r="H163" s="8" t="s">
        <v>33</v>
      </c>
      <c r="I163" s="8" t="s">
        <v>34</v>
      </c>
      <c r="J163" s="12" t="n">
        <f aca="false">IF(E163="ENTRADA",F163-G163,G163-F163)</f>
        <v>-28.92</v>
      </c>
      <c r="K163" s="13" t="n">
        <f aca="false">IFERROR(IF(G163=0,0,J163/G163),0)</f>
        <v>-0.200833333333333</v>
      </c>
      <c r="L163" s="14" t="n">
        <v>-0.343</v>
      </c>
      <c r="M163" s="15" t="s">
        <v>25</v>
      </c>
      <c r="N163" s="13" t="n">
        <f aca="false">IFERROR(IF(E163="ENTRADA",IF(G163=0,1,MIN(F163/G163,2)),IF(G163=0,1,MAX(1-ABS(J163)/G163,0))),0)</f>
        <v>0.799166666666667</v>
      </c>
      <c r="O163" s="16" t="n">
        <v>143</v>
      </c>
    </row>
    <row r="164" customFormat="false" ht="18.75" hidden="false" customHeight="true" outlineLevel="0" collapsed="false">
      <c r="A164" s="17" t="s">
        <v>226</v>
      </c>
      <c r="B164" s="18" t="s">
        <v>73</v>
      </c>
      <c r="C164" s="19" t="s">
        <v>36</v>
      </c>
      <c r="D164" s="19" t="s">
        <v>62</v>
      </c>
      <c r="E164" s="20" t="s">
        <v>22</v>
      </c>
      <c r="F164" s="21" t="n">
        <v>104.91</v>
      </c>
      <c r="G164" s="11" t="n">
        <v>100</v>
      </c>
      <c r="H164" s="19" t="s">
        <v>29</v>
      </c>
      <c r="I164" s="19" t="s">
        <v>34</v>
      </c>
      <c r="J164" s="22" t="n">
        <f aca="false">IF(E164="ENTRADA",F164-G164,G164-F164)</f>
        <v>-4.91</v>
      </c>
      <c r="K164" s="23" t="n">
        <f aca="false">IFERROR(IF(G164=0,0,J164/G164),0)</f>
        <v>-0.0491</v>
      </c>
      <c r="L164" s="24" t="n">
        <v>-0.509</v>
      </c>
      <c r="M164" s="25" t="s">
        <v>25</v>
      </c>
      <c r="N164" s="23" t="n">
        <f aca="false">IFERROR(IF(E164="ENTRADA",IF(G164=0,1,MIN(F164/G164,2)),IF(G164=0,1,MAX(1-ABS(J164)/G164,0))),0)</f>
        <v>0.9509</v>
      </c>
      <c r="O164" s="26" t="n">
        <v>156</v>
      </c>
    </row>
    <row r="165" customFormat="false" ht="18.75" hidden="false" customHeight="true" outlineLevel="0" collapsed="false">
      <c r="A165" s="6" t="s">
        <v>227</v>
      </c>
      <c r="B165" s="7" t="s">
        <v>108</v>
      </c>
      <c r="C165" s="8" t="s">
        <v>27</v>
      </c>
      <c r="D165" s="8" t="s">
        <v>28</v>
      </c>
      <c r="E165" s="9" t="s">
        <v>22</v>
      </c>
      <c r="F165" s="10" t="n">
        <v>148.11</v>
      </c>
      <c r="G165" s="11" t="n">
        <v>144</v>
      </c>
      <c r="H165" s="8" t="s">
        <v>33</v>
      </c>
      <c r="I165" s="8" t="s">
        <v>24</v>
      </c>
      <c r="J165" s="12" t="n">
        <f aca="false">IF(E165="ENTRADA",F165-G165,G165-F165)</f>
        <v>-4.11000000000001</v>
      </c>
      <c r="K165" s="13" t="n">
        <f aca="false">IFERROR(IF(G165=0,0,J165/G165),0)</f>
        <v>-0.0285416666666668</v>
      </c>
      <c r="L165" s="14" t="n">
        <v>-0.404</v>
      </c>
      <c r="M165" s="15" t="s">
        <v>25</v>
      </c>
      <c r="N165" s="13" t="n">
        <f aca="false">IFERROR(IF(E165="ENTRADA",IF(G165=0,1,MIN(F165/G165,2)),IF(G165=0,1,MAX(1-ABS(J165)/G165,0))),0)</f>
        <v>0.971458333333333</v>
      </c>
      <c r="O165" s="16" t="n">
        <v>144</v>
      </c>
    </row>
    <row r="166" customFormat="false" ht="18.75" hidden="false" customHeight="true" outlineLevel="0" collapsed="false">
      <c r="A166" s="17" t="s">
        <v>228</v>
      </c>
      <c r="B166" s="18" t="s">
        <v>30</v>
      </c>
      <c r="C166" s="19" t="s">
        <v>31</v>
      </c>
      <c r="D166" s="19" t="s">
        <v>229</v>
      </c>
      <c r="E166" s="20" t="s">
        <v>22</v>
      </c>
      <c r="F166" s="21" t="n">
        <v>83.24</v>
      </c>
      <c r="G166" s="11" t="n">
        <v>56</v>
      </c>
      <c r="H166" s="19" t="s">
        <v>33</v>
      </c>
      <c r="I166" s="19" t="s">
        <v>24</v>
      </c>
      <c r="J166" s="22" t="n">
        <f aca="false">IF(E166="ENTRADA",F166-G166,G166-F166)</f>
        <v>-27.24</v>
      </c>
      <c r="K166" s="23" t="n">
        <f aca="false">IFERROR(IF(G166=0,0,J166/G166),0)</f>
        <v>-0.486428571428571</v>
      </c>
      <c r="L166" s="24" t="n">
        <v>-0.562</v>
      </c>
      <c r="M166" s="25" t="s">
        <v>25</v>
      </c>
      <c r="N166" s="23" t="n">
        <f aca="false">IFERROR(IF(E166="ENTRADA",IF(G166=0,1,MIN(F166/G166,2)),IF(G166=0,1,MAX(1-ABS(J166)/G166,0))),0)</f>
        <v>0.513571428571429</v>
      </c>
      <c r="O166" s="26" t="n">
        <v>150</v>
      </c>
    </row>
    <row r="167" customFormat="false" ht="18.75" hidden="false" customHeight="true" outlineLevel="0" collapsed="false">
      <c r="A167" s="6" t="s">
        <v>230</v>
      </c>
      <c r="B167" s="7" t="s">
        <v>54</v>
      </c>
      <c r="C167" s="8" t="s">
        <v>41</v>
      </c>
      <c r="D167" s="8" t="s">
        <v>65</v>
      </c>
      <c r="E167" s="9" t="s">
        <v>22</v>
      </c>
      <c r="F167" s="10" t="n">
        <v>458.26</v>
      </c>
      <c r="G167" s="11" t="n">
        <v>587.5</v>
      </c>
      <c r="H167" s="8" t="s">
        <v>33</v>
      </c>
      <c r="I167" s="8" t="s">
        <v>34</v>
      </c>
      <c r="J167" s="12" t="n">
        <f aca="false">IF(E167="ENTRADA",F167-G167,G167-F167)</f>
        <v>129.24</v>
      </c>
      <c r="K167" s="13" t="n">
        <f aca="false">IFERROR(IF(G167=0,0,J167/G167),0)</f>
        <v>0.219982978723404</v>
      </c>
      <c r="L167" s="14" t="n">
        <v>0.356</v>
      </c>
      <c r="M167" s="15" t="s">
        <v>25</v>
      </c>
      <c r="N167" s="13" t="n">
        <f aca="false">IFERROR(IF(E167="ENTRADA",IF(G167=0,1,MIN(F167/G167,2)),IF(G167=0,1,MAX(1-ABS(J167)/G167,0))),0)</f>
        <v>0.780017021276596</v>
      </c>
      <c r="O167" s="16" t="n">
        <v>167</v>
      </c>
    </row>
    <row r="168" customFormat="false" ht="18.75" hidden="false" customHeight="true" outlineLevel="0" collapsed="false">
      <c r="A168" s="17" t="s">
        <v>231</v>
      </c>
      <c r="B168" s="18" t="s">
        <v>19</v>
      </c>
      <c r="C168" s="19" t="s">
        <v>20</v>
      </c>
      <c r="D168" s="19" t="s">
        <v>21</v>
      </c>
      <c r="E168" s="20" t="s">
        <v>22</v>
      </c>
      <c r="F168" s="21" t="n">
        <v>306.46</v>
      </c>
      <c r="G168" s="11" t="n">
        <v>350</v>
      </c>
      <c r="H168" s="19" t="s">
        <v>38</v>
      </c>
      <c r="I168" s="19" t="s">
        <v>24</v>
      </c>
      <c r="J168" s="22" t="n">
        <f aca="false">IF(E168="ENTRADA",F168-G168,G168-F168)</f>
        <v>43.54</v>
      </c>
      <c r="K168" s="23" t="n">
        <f aca="false">IFERROR(IF(G168=0,0,J168/G168),0)</f>
        <v>0.1244</v>
      </c>
      <c r="L168" s="24" t="n">
        <v>-0.016</v>
      </c>
      <c r="M168" s="25" t="s">
        <v>25</v>
      </c>
      <c r="N168" s="23" t="n">
        <f aca="false">IFERROR(IF(E168="ENTRADA",IF(G168=0,1,MIN(F168/G168,2)),IF(G168=0,1,MAX(1-ABS(J168)/G168,0))),0)</f>
        <v>0.8756</v>
      </c>
      <c r="O168" s="26" t="n">
        <v>168</v>
      </c>
    </row>
    <row r="169" customFormat="false" ht="18.75" hidden="false" customHeight="true" outlineLevel="0" collapsed="false">
      <c r="A169" s="6" t="s">
        <v>232</v>
      </c>
      <c r="B169" s="7" t="s">
        <v>233</v>
      </c>
      <c r="C169" s="8" t="s">
        <v>46</v>
      </c>
      <c r="D169" s="8" t="s">
        <v>47</v>
      </c>
      <c r="E169" s="28" t="s">
        <v>48</v>
      </c>
      <c r="F169" s="10" t="n">
        <v>8654.51</v>
      </c>
      <c r="G169" s="11" t="n">
        <v>8500</v>
      </c>
      <c r="H169" s="8" t="s">
        <v>29</v>
      </c>
      <c r="I169" s="8" t="s">
        <v>34</v>
      </c>
      <c r="J169" s="12" t="n">
        <f aca="false">IF(E169="ENTRADA",F169-G169,G169-F169)</f>
        <v>154.51</v>
      </c>
      <c r="K169" s="13" t="n">
        <f aca="false">IFERROR(IF(G169=0,0,J169/G169),0)</f>
        <v>0.0181776470588236</v>
      </c>
      <c r="L169" s="14" t="n">
        <v>0</v>
      </c>
      <c r="M169" s="16" t="s">
        <v>49</v>
      </c>
      <c r="N169" s="13" t="n">
        <f aca="false">IFERROR(IF(E169="ENTRADA",IF(G169=0,1,MIN(F169/G169,2)),IF(G169=0,1,MAX(1-ABS(J169)/G169,0))),0)</f>
        <v>1.01817764705882</v>
      </c>
      <c r="O169" s="16" t="n">
        <v>161</v>
      </c>
    </row>
    <row r="170" customFormat="false" ht="18.75" hidden="false" customHeight="true" outlineLevel="0" collapsed="false">
      <c r="A170" s="17" t="s">
        <v>232</v>
      </c>
      <c r="B170" s="18" t="s">
        <v>95</v>
      </c>
      <c r="C170" s="19" t="s">
        <v>31</v>
      </c>
      <c r="D170" s="19" t="s">
        <v>60</v>
      </c>
      <c r="E170" s="20" t="s">
        <v>22</v>
      </c>
      <c r="F170" s="21" t="n">
        <v>40.89</v>
      </c>
      <c r="G170" s="11" t="n">
        <v>70</v>
      </c>
      <c r="H170" s="19" t="s">
        <v>43</v>
      </c>
      <c r="I170" s="19" t="s">
        <v>34</v>
      </c>
      <c r="J170" s="22" t="n">
        <f aca="false">IF(E170="ENTRADA",F170-G170,G170-F170)</f>
        <v>29.11</v>
      </c>
      <c r="K170" s="23" t="n">
        <f aca="false">IFERROR(IF(G170=0,0,J170/G170),0)</f>
        <v>0.415857142857143</v>
      </c>
      <c r="L170" s="24" t="n">
        <v>-0.666</v>
      </c>
      <c r="M170" s="25" t="s">
        <v>25</v>
      </c>
      <c r="N170" s="23" t="n">
        <f aca="false">IFERROR(IF(E170="ENTRADA",IF(G170=0,1,MIN(F170/G170,2)),IF(G170=0,1,MAX(1-ABS(J170)/G170,0))),0)</f>
        <v>0.584142857142857</v>
      </c>
      <c r="O170" s="26" t="n">
        <v>173</v>
      </c>
    </row>
    <row r="171" customFormat="false" ht="18.75" hidden="false" customHeight="true" outlineLevel="0" collapsed="false">
      <c r="A171" s="6" t="s">
        <v>234</v>
      </c>
      <c r="B171" s="7" t="s">
        <v>199</v>
      </c>
      <c r="C171" s="8" t="s">
        <v>41</v>
      </c>
      <c r="D171" s="8" t="s">
        <v>65</v>
      </c>
      <c r="E171" s="9" t="s">
        <v>22</v>
      </c>
      <c r="F171" s="10" t="n">
        <v>732.42</v>
      </c>
      <c r="G171" s="11" t="n">
        <v>587.5</v>
      </c>
      <c r="H171" s="8" t="s">
        <v>33</v>
      </c>
      <c r="I171" s="8" t="s">
        <v>34</v>
      </c>
      <c r="J171" s="12" t="n">
        <f aca="false">IF(E171="ENTRADA",F171-G171,G171-F171)</f>
        <v>-144.92</v>
      </c>
      <c r="K171" s="13" t="n">
        <f aca="false">IFERROR(IF(G171=0,0,J171/G171),0)</f>
        <v>-0.246672340425532</v>
      </c>
      <c r="L171" s="14" t="n">
        <v>1.027</v>
      </c>
      <c r="M171" s="15" t="s">
        <v>25</v>
      </c>
      <c r="N171" s="13" t="n">
        <f aca="false">IFERROR(IF(E171="ENTRADA",IF(G171=0,1,MIN(F171/G171,2)),IF(G171=0,1,MAX(1-ABS(J171)/G171,0))),0)</f>
        <v>0.753327659574468</v>
      </c>
      <c r="O171" s="16" t="n">
        <v>166</v>
      </c>
    </row>
    <row r="172" customFormat="false" ht="18.75" hidden="false" customHeight="true" outlineLevel="0" collapsed="false">
      <c r="A172" s="17" t="s">
        <v>235</v>
      </c>
      <c r="B172" s="18" t="s">
        <v>54</v>
      </c>
      <c r="C172" s="19" t="s">
        <v>41</v>
      </c>
      <c r="D172" s="19" t="s">
        <v>111</v>
      </c>
      <c r="E172" s="20" t="s">
        <v>22</v>
      </c>
      <c r="F172" s="21" t="n">
        <v>713.16</v>
      </c>
      <c r="G172" s="11" t="n">
        <v>587.5</v>
      </c>
      <c r="H172" s="19" t="s">
        <v>23</v>
      </c>
      <c r="I172" s="19" t="s">
        <v>34</v>
      </c>
      <c r="J172" s="22" t="n">
        <f aca="false">IF(E172="ENTRADA",F172-G172,G172-F172)</f>
        <v>-125.66</v>
      </c>
      <c r="K172" s="23" t="n">
        <f aca="false">IFERROR(IF(G172=0,0,J172/G172),0)</f>
        <v>-0.213889361702128</v>
      </c>
      <c r="L172" s="24" t="n">
        <v>0.98</v>
      </c>
      <c r="M172" s="25" t="s">
        <v>25</v>
      </c>
      <c r="N172" s="23" t="n">
        <f aca="false">IFERROR(IF(E172="ENTRADA",IF(G172=0,1,MIN(F172/G172,2)),IF(G172=0,1,MAX(1-ABS(J172)/G172,0))),0)</f>
        <v>0.786110638297872</v>
      </c>
      <c r="O172" s="26" t="n">
        <v>164</v>
      </c>
    </row>
    <row r="173" customFormat="false" ht="18.75" hidden="false" customHeight="true" outlineLevel="0" collapsed="false">
      <c r="A173" s="6" t="s">
        <v>235</v>
      </c>
      <c r="B173" s="7" t="s">
        <v>84</v>
      </c>
      <c r="C173" s="8" t="s">
        <v>85</v>
      </c>
      <c r="D173" s="8" t="s">
        <v>170</v>
      </c>
      <c r="E173" s="9" t="s">
        <v>22</v>
      </c>
      <c r="F173" s="10" t="n">
        <v>485.01</v>
      </c>
      <c r="G173" s="11" t="n">
        <v>625</v>
      </c>
      <c r="H173" s="8" t="s">
        <v>38</v>
      </c>
      <c r="I173" s="8" t="s">
        <v>34</v>
      </c>
      <c r="J173" s="12" t="n">
        <f aca="false">IF(E173="ENTRADA",F173-G173,G173-F173)</f>
        <v>139.99</v>
      </c>
      <c r="K173" s="13" t="n">
        <f aca="false">IFERROR(IF(G173=0,0,J173/G173),0)</f>
        <v>0.223984</v>
      </c>
      <c r="L173" s="14" t="n">
        <v>0.421</v>
      </c>
      <c r="M173" s="15" t="s">
        <v>25</v>
      </c>
      <c r="N173" s="13" t="n">
        <f aca="false">IFERROR(IF(E173="ENTRADA",IF(G173=0,1,MIN(F173/G173,2)),IF(G173=0,1,MAX(1-ABS(J173)/G173,0))),0)</f>
        <v>0.776016</v>
      </c>
      <c r="O173" s="16" t="n">
        <v>178</v>
      </c>
    </row>
    <row r="174" customFormat="false" ht="18.75" hidden="false" customHeight="true" outlineLevel="0" collapsed="false">
      <c r="A174" s="17" t="s">
        <v>236</v>
      </c>
      <c r="B174" s="18" t="s">
        <v>40</v>
      </c>
      <c r="C174" s="19" t="s">
        <v>41</v>
      </c>
      <c r="D174" s="19" t="s">
        <v>65</v>
      </c>
      <c r="E174" s="20" t="s">
        <v>22</v>
      </c>
      <c r="F174" s="21" t="n">
        <v>540.16</v>
      </c>
      <c r="G174" s="11" t="n">
        <v>587.5</v>
      </c>
      <c r="H174" s="19" t="s">
        <v>33</v>
      </c>
      <c r="I174" s="19" t="s">
        <v>34</v>
      </c>
      <c r="J174" s="22" t="n">
        <f aca="false">IF(E174="ENTRADA",F174-G174,G174-F174)</f>
        <v>47.34</v>
      </c>
      <c r="K174" s="23" t="n">
        <f aca="false">IFERROR(IF(G174=0,0,J174/G174),0)</f>
        <v>0.0805787234042554</v>
      </c>
      <c r="L174" s="24" t="n">
        <v>0.556</v>
      </c>
      <c r="M174" s="25" t="s">
        <v>25</v>
      </c>
      <c r="N174" s="23" t="n">
        <f aca="false">IFERROR(IF(E174="ENTRADA",IF(G174=0,1,MIN(F174/G174,2)),IF(G174=0,1,MAX(1-ABS(J174)/G174,0))),0)</f>
        <v>0.919421276595745</v>
      </c>
      <c r="O174" s="26" t="n">
        <v>165</v>
      </c>
    </row>
    <row r="175" customFormat="false" ht="18.75" hidden="false" customHeight="true" outlineLevel="0" collapsed="false">
      <c r="A175" s="6" t="s">
        <v>236</v>
      </c>
      <c r="B175" s="7" t="s">
        <v>180</v>
      </c>
      <c r="C175" s="8" t="s">
        <v>85</v>
      </c>
      <c r="D175" s="8" t="s">
        <v>93</v>
      </c>
      <c r="E175" s="9" t="s">
        <v>22</v>
      </c>
      <c r="F175" s="10" t="n">
        <v>373.63</v>
      </c>
      <c r="G175" s="11" t="n">
        <v>625</v>
      </c>
      <c r="H175" s="8" t="s">
        <v>43</v>
      </c>
      <c r="I175" s="8" t="s">
        <v>34</v>
      </c>
      <c r="J175" s="12" t="n">
        <f aca="false">IF(E175="ENTRADA",F175-G175,G175-F175)</f>
        <v>251.37</v>
      </c>
      <c r="K175" s="13" t="n">
        <f aca="false">IFERROR(IF(G175=0,0,J175/G175),0)</f>
        <v>0.402192</v>
      </c>
      <c r="L175" s="14" t="n">
        <v>0.148</v>
      </c>
      <c r="M175" s="15" t="s">
        <v>25</v>
      </c>
      <c r="N175" s="13" t="n">
        <f aca="false">IFERROR(IF(E175="ENTRADA",IF(G175=0,1,MIN(F175/G175,2)),IF(G175=0,1,MAX(1-ABS(J175)/G175,0))),0)</f>
        <v>0.597808</v>
      </c>
      <c r="O175" s="16" t="n">
        <v>176</v>
      </c>
    </row>
    <row r="176" customFormat="false" ht="18.75" hidden="false" customHeight="true" outlineLevel="0" collapsed="false">
      <c r="A176" s="17" t="s">
        <v>237</v>
      </c>
      <c r="B176" s="18" t="s">
        <v>67</v>
      </c>
      <c r="C176" s="19" t="s">
        <v>46</v>
      </c>
      <c r="D176" s="19" t="s">
        <v>68</v>
      </c>
      <c r="E176" s="27" t="s">
        <v>48</v>
      </c>
      <c r="F176" s="21" t="n">
        <v>2741.09</v>
      </c>
      <c r="G176" s="21" t="n">
        <v>0</v>
      </c>
      <c r="H176" s="19" t="s">
        <v>43</v>
      </c>
      <c r="I176" s="19" t="s">
        <v>24</v>
      </c>
      <c r="J176" s="22" t="n">
        <f aca="false">IF(E176="ENTRADA",F176-G176,G176-F176)</f>
        <v>2741.09</v>
      </c>
      <c r="K176" s="23" t="n">
        <f aca="false">IFERROR(IF(G176=0,0,J176/G176),0)</f>
        <v>0</v>
      </c>
      <c r="L176" s="24" t="n">
        <v>0</v>
      </c>
      <c r="M176" s="26" t="s">
        <v>49</v>
      </c>
      <c r="N176" s="23" t="n">
        <f aca="false">IFERROR(IF(E176="ENTRADA",IF(G176=0,1,MIN(F176/G176,2)),IF(G176=0,1,MAX(1-ABS(J176)/G176,0))),0)</f>
        <v>1</v>
      </c>
      <c r="O176" s="26" t="n">
        <v>162</v>
      </c>
    </row>
    <row r="177" customFormat="false" ht="18.75" hidden="false" customHeight="true" outlineLevel="0" collapsed="false">
      <c r="A177" s="6" t="s">
        <v>237</v>
      </c>
      <c r="B177" s="7" t="s">
        <v>224</v>
      </c>
      <c r="C177" s="8" t="s">
        <v>31</v>
      </c>
      <c r="D177" s="8" t="s">
        <v>96</v>
      </c>
      <c r="E177" s="9" t="s">
        <v>22</v>
      </c>
      <c r="F177" s="10" t="n">
        <v>37.16</v>
      </c>
      <c r="G177" s="11" t="n">
        <v>70</v>
      </c>
      <c r="H177" s="8" t="s">
        <v>43</v>
      </c>
      <c r="I177" s="8" t="s">
        <v>24</v>
      </c>
      <c r="J177" s="12" t="n">
        <f aca="false">IF(E177="ENTRADA",F177-G177,G177-F177)</f>
        <v>32.84</v>
      </c>
      <c r="K177" s="13" t="n">
        <f aca="false">IFERROR(IF(G177=0,0,J177/G177),0)</f>
        <v>0.469142857142857</v>
      </c>
      <c r="L177" s="14" t="n">
        <v>-0.675</v>
      </c>
      <c r="M177" s="15" t="s">
        <v>25</v>
      </c>
      <c r="N177" s="13" t="n">
        <f aca="false">IFERROR(IF(E177="ENTRADA",IF(G177=0,1,MIN(F177/G177,2)),IF(G177=0,1,MAX(1-ABS(J177)/G177,0))),0)</f>
        <v>0.530857142857143</v>
      </c>
      <c r="O177" s="16" t="n">
        <v>170</v>
      </c>
    </row>
    <row r="178" customFormat="false" ht="18.75" hidden="false" customHeight="true" outlineLevel="0" collapsed="false">
      <c r="A178" s="17" t="s">
        <v>237</v>
      </c>
      <c r="B178" s="18" t="s">
        <v>101</v>
      </c>
      <c r="C178" s="19" t="s">
        <v>85</v>
      </c>
      <c r="D178" s="19" t="s">
        <v>93</v>
      </c>
      <c r="E178" s="20" t="s">
        <v>22</v>
      </c>
      <c r="F178" s="21" t="n">
        <v>576.02</v>
      </c>
      <c r="G178" s="11" t="n">
        <v>625</v>
      </c>
      <c r="H178" s="19" t="s">
        <v>29</v>
      </c>
      <c r="I178" s="19" t="s">
        <v>34</v>
      </c>
      <c r="J178" s="22" t="n">
        <f aca="false">IF(E178="ENTRADA",F178-G178,G178-F178)</f>
        <v>48.98</v>
      </c>
      <c r="K178" s="23" t="n">
        <f aca="false">IFERROR(IF(G178=0,0,J178/G178),0)</f>
        <v>0.078368</v>
      </c>
      <c r="L178" s="24" t="n">
        <v>0.644</v>
      </c>
      <c r="M178" s="25" t="s">
        <v>25</v>
      </c>
      <c r="N178" s="23" t="n">
        <f aca="false">IFERROR(IF(E178="ENTRADA",IF(G178=0,1,MIN(F178/G178,2)),IF(G178=0,1,MAX(1-ABS(J178)/G178,0))),0)</f>
        <v>0.921632</v>
      </c>
      <c r="O178" s="26" t="n">
        <v>175</v>
      </c>
    </row>
    <row r="179" customFormat="false" ht="18.75" hidden="false" customHeight="true" outlineLevel="0" collapsed="false">
      <c r="A179" s="6" t="s">
        <v>237</v>
      </c>
      <c r="B179" s="7" t="s">
        <v>104</v>
      </c>
      <c r="C179" s="8" t="s">
        <v>76</v>
      </c>
      <c r="D179" s="8" t="s">
        <v>77</v>
      </c>
      <c r="E179" s="9" t="s">
        <v>22</v>
      </c>
      <c r="F179" s="10" t="n">
        <v>120.09</v>
      </c>
      <c r="G179" s="11" t="n">
        <v>150</v>
      </c>
      <c r="H179" s="8" t="s">
        <v>33</v>
      </c>
      <c r="I179" s="8" t="s">
        <v>34</v>
      </c>
      <c r="J179" s="12" t="n">
        <f aca="false">IF(E179="ENTRADA",F179-G179,G179-F179)</f>
        <v>29.91</v>
      </c>
      <c r="K179" s="13" t="n">
        <f aca="false">IFERROR(IF(G179=0,0,J179/G179),0)</f>
        <v>0.1994</v>
      </c>
      <c r="L179" s="14" t="n">
        <v>-0.472</v>
      </c>
      <c r="M179" s="15" t="s">
        <v>25</v>
      </c>
      <c r="N179" s="13" t="n">
        <f aca="false">IFERROR(IF(E179="ENTRADA",IF(G179=0,1,MIN(F179/G179,2)),IF(G179=0,1,MAX(1-ABS(J179)/G179,0))),0)</f>
        <v>0.8006</v>
      </c>
      <c r="O179" s="16" t="n">
        <v>180</v>
      </c>
    </row>
    <row r="180" customFormat="false" ht="18.75" hidden="false" customHeight="true" outlineLevel="0" collapsed="false">
      <c r="A180" s="17" t="s">
        <v>238</v>
      </c>
      <c r="B180" s="18" t="s">
        <v>59</v>
      </c>
      <c r="C180" s="19" t="s">
        <v>31</v>
      </c>
      <c r="D180" s="19" t="s">
        <v>32</v>
      </c>
      <c r="E180" s="20" t="s">
        <v>22</v>
      </c>
      <c r="F180" s="21" t="n">
        <v>26.46</v>
      </c>
      <c r="G180" s="11" t="n">
        <v>70</v>
      </c>
      <c r="H180" s="19" t="s">
        <v>43</v>
      </c>
      <c r="I180" s="19" t="s">
        <v>34</v>
      </c>
      <c r="J180" s="22" t="n">
        <f aca="false">IF(E180="ENTRADA",F180-G180,G180-F180)</f>
        <v>43.54</v>
      </c>
      <c r="K180" s="23" t="n">
        <f aca="false">IFERROR(IF(G180=0,0,J180/G180),0)</f>
        <v>0.622</v>
      </c>
      <c r="L180" s="24" t="n">
        <v>-0.701</v>
      </c>
      <c r="M180" s="25" t="s">
        <v>25</v>
      </c>
      <c r="N180" s="23" t="n">
        <f aca="false">IFERROR(IF(E180="ENTRADA",IF(G180=0,1,MIN(F180/G180,2)),IF(G180=0,1,MAX(1-ABS(J180)/G180,0))),0)</f>
        <v>0.378</v>
      </c>
      <c r="O180" s="26" t="n">
        <v>172</v>
      </c>
    </row>
    <row r="181" customFormat="false" ht="18.75" hidden="false" customHeight="true" outlineLevel="0" collapsed="false">
      <c r="A181" s="6" t="s">
        <v>239</v>
      </c>
      <c r="B181" s="7" t="s">
        <v>73</v>
      </c>
      <c r="C181" s="8" t="s">
        <v>36</v>
      </c>
      <c r="D181" s="8" t="s">
        <v>71</v>
      </c>
      <c r="E181" s="9" t="s">
        <v>22</v>
      </c>
      <c r="F181" s="10" t="n">
        <v>239.45</v>
      </c>
      <c r="G181" s="11" t="n">
        <v>400</v>
      </c>
      <c r="H181" s="8" t="s">
        <v>23</v>
      </c>
      <c r="I181" s="8" t="s">
        <v>24</v>
      </c>
      <c r="J181" s="12" t="n">
        <f aca="false">IF(E181="ENTRADA",F181-G181,G181-F181)</f>
        <v>160.55</v>
      </c>
      <c r="K181" s="13" t="n">
        <f aca="false">IFERROR(IF(G181=0,0,J181/G181),0)</f>
        <v>0.401375</v>
      </c>
      <c r="L181" s="14" t="n">
        <v>-0.18</v>
      </c>
      <c r="M181" s="15" t="s">
        <v>25</v>
      </c>
      <c r="N181" s="13" t="n">
        <f aca="false">IFERROR(IF(E181="ENTRADA",IF(G181=0,1,MIN(F181/G181,2)),IF(G181=0,1,MAX(1-ABS(J181)/G181,0))),0)</f>
        <v>0.598625</v>
      </c>
      <c r="O181" s="16" t="n">
        <v>174</v>
      </c>
    </row>
    <row r="182" customFormat="false" ht="18.75" hidden="false" customHeight="true" outlineLevel="0" collapsed="false">
      <c r="A182" s="17" t="s">
        <v>239</v>
      </c>
      <c r="B182" s="18" t="s">
        <v>134</v>
      </c>
      <c r="C182" s="19" t="s">
        <v>76</v>
      </c>
      <c r="D182" s="19" t="s">
        <v>175</v>
      </c>
      <c r="E182" s="20" t="s">
        <v>22</v>
      </c>
      <c r="F182" s="21" t="n">
        <v>165.8</v>
      </c>
      <c r="G182" s="11" t="n">
        <v>150</v>
      </c>
      <c r="H182" s="19" t="s">
        <v>43</v>
      </c>
      <c r="I182" s="19" t="s">
        <v>24</v>
      </c>
      <c r="J182" s="22" t="n">
        <f aca="false">IF(E182="ENTRADA",F182-G182,G182-F182)</f>
        <v>-15.8</v>
      </c>
      <c r="K182" s="23" t="n">
        <f aca="false">IFERROR(IF(G182=0,0,J182/G182),0)</f>
        <v>-0.105333333333333</v>
      </c>
      <c r="L182" s="24" t="n">
        <v>-0.36</v>
      </c>
      <c r="M182" s="25" t="s">
        <v>25</v>
      </c>
      <c r="N182" s="23" t="n">
        <f aca="false">IFERROR(IF(E182="ENTRADA",IF(G182=0,1,MIN(F182/G182,2)),IF(G182=0,1,MAX(1-ABS(J182)/G182,0))),0)</f>
        <v>0.894666666666667</v>
      </c>
      <c r="O182" s="26" t="n">
        <v>179</v>
      </c>
    </row>
    <row r="183" customFormat="false" ht="18.75" hidden="false" customHeight="true" outlineLevel="0" collapsed="false">
      <c r="A183" s="6" t="s">
        <v>240</v>
      </c>
      <c r="B183" s="7" t="s">
        <v>84</v>
      </c>
      <c r="C183" s="8" t="s">
        <v>85</v>
      </c>
      <c r="D183" s="8" t="s">
        <v>170</v>
      </c>
      <c r="E183" s="9" t="s">
        <v>22</v>
      </c>
      <c r="F183" s="10" t="n">
        <v>509.54</v>
      </c>
      <c r="G183" s="11" t="n">
        <v>625</v>
      </c>
      <c r="H183" s="8" t="s">
        <v>38</v>
      </c>
      <c r="I183" s="8" t="s">
        <v>34</v>
      </c>
      <c r="J183" s="12" t="n">
        <f aca="false">IF(E183="ENTRADA",F183-G183,G183-F183)</f>
        <v>115.46</v>
      </c>
      <c r="K183" s="13" t="n">
        <f aca="false">IFERROR(IF(G183=0,0,J183/G183),0)</f>
        <v>0.184736</v>
      </c>
      <c r="L183" s="14" t="n">
        <v>0.481</v>
      </c>
      <c r="M183" s="15" t="s">
        <v>25</v>
      </c>
      <c r="N183" s="13" t="n">
        <f aca="false">IFERROR(IF(E183="ENTRADA",IF(G183=0,1,MIN(F183/G183,2)),IF(G183=0,1,MAX(1-ABS(J183)/G183,0))),0)</f>
        <v>0.815264</v>
      </c>
      <c r="O183" s="16" t="n">
        <v>177</v>
      </c>
    </row>
    <row r="184" customFormat="false" ht="18.75" hidden="false" customHeight="true" outlineLevel="0" collapsed="false">
      <c r="A184" s="17" t="s">
        <v>241</v>
      </c>
      <c r="B184" s="18" t="s">
        <v>131</v>
      </c>
      <c r="C184" s="19" t="s">
        <v>52</v>
      </c>
      <c r="D184" s="19" t="s">
        <v>58</v>
      </c>
      <c r="E184" s="20" t="s">
        <v>22</v>
      </c>
      <c r="F184" s="21" t="n">
        <v>1191.19</v>
      </c>
      <c r="G184" s="11" t="n">
        <v>900</v>
      </c>
      <c r="H184" s="19" t="s">
        <v>38</v>
      </c>
      <c r="I184" s="19" t="s">
        <v>34</v>
      </c>
      <c r="J184" s="22" t="n">
        <f aca="false">IF(E184="ENTRADA",F184-G184,G184-F184)</f>
        <v>-291.19</v>
      </c>
      <c r="K184" s="23" t="n">
        <f aca="false">IFERROR(IF(G184=0,0,J184/G184),0)</f>
        <v>-0.323544444444445</v>
      </c>
      <c r="L184" s="29" t="n">
        <v>2.15</v>
      </c>
      <c r="M184" s="30" t="s">
        <v>200</v>
      </c>
      <c r="N184" s="23" t="n">
        <f aca="false">IFERROR(IF(E184="ENTRADA",IF(G184=0,1,MIN(F184/G184,2)),IF(G184=0,1,MAX(1-ABS(J184)/G184,0))),0)</f>
        <v>0.676455555555556</v>
      </c>
      <c r="O184" s="26" t="n">
        <v>163</v>
      </c>
    </row>
    <row r="185" customFormat="false" ht="18.75" hidden="false" customHeight="true" outlineLevel="0" collapsed="false">
      <c r="A185" s="6" t="s">
        <v>242</v>
      </c>
      <c r="B185" s="7" t="s">
        <v>55</v>
      </c>
      <c r="C185" s="8" t="s">
        <v>27</v>
      </c>
      <c r="D185" s="8" t="s">
        <v>109</v>
      </c>
      <c r="E185" s="9" t="s">
        <v>22</v>
      </c>
      <c r="F185" s="10" t="n">
        <v>1122.17</v>
      </c>
      <c r="G185" s="11" t="n">
        <v>720</v>
      </c>
      <c r="H185" s="8" t="s">
        <v>33</v>
      </c>
      <c r="I185" s="8" t="s">
        <v>24</v>
      </c>
      <c r="J185" s="12" t="n">
        <f aca="false">IF(E185="ENTRADA",F185-G185,G185-F185)</f>
        <v>-402.17</v>
      </c>
      <c r="K185" s="13" t="n">
        <f aca="false">IFERROR(IF(G185=0,0,J185/G185),0)</f>
        <v>-0.558569444444445</v>
      </c>
      <c r="L185" s="14" t="n">
        <v>1.981</v>
      </c>
      <c r="M185" s="15" t="s">
        <v>25</v>
      </c>
      <c r="N185" s="13" t="n">
        <f aca="false">IFERROR(IF(E185="ENTRADA",IF(G185=0,1,MIN(F185/G185,2)),IF(G185=0,1,MAX(1-ABS(J185)/G185,0))),0)</f>
        <v>0.441430555555555</v>
      </c>
      <c r="O185" s="16" t="n">
        <v>169</v>
      </c>
    </row>
    <row r="186" customFormat="false" ht="18.75" hidden="false" customHeight="true" outlineLevel="0" collapsed="false">
      <c r="A186" s="17" t="s">
        <v>242</v>
      </c>
      <c r="B186" s="18" t="s">
        <v>144</v>
      </c>
      <c r="C186" s="19" t="s">
        <v>31</v>
      </c>
      <c r="D186" s="19" t="s">
        <v>229</v>
      </c>
      <c r="E186" s="20" t="s">
        <v>22</v>
      </c>
      <c r="F186" s="21" t="n">
        <v>15.91</v>
      </c>
      <c r="G186" s="11" t="n">
        <v>70</v>
      </c>
      <c r="H186" s="19" t="s">
        <v>43</v>
      </c>
      <c r="I186" s="19" t="s">
        <v>24</v>
      </c>
      <c r="J186" s="22" t="n">
        <f aca="false">IF(E186="ENTRADA",F186-G186,G186-F186)</f>
        <v>54.09</v>
      </c>
      <c r="K186" s="23" t="n">
        <f aca="false">IFERROR(IF(G186=0,0,J186/G186),0)</f>
        <v>0.772714285714286</v>
      </c>
      <c r="L186" s="24" t="n">
        <v>-0.727</v>
      </c>
      <c r="M186" s="25" t="s">
        <v>25</v>
      </c>
      <c r="N186" s="23" t="n">
        <f aca="false">IFERROR(IF(E186="ENTRADA",IF(G186=0,1,MIN(F186/G186,2)),IF(G186=0,1,MAX(1-ABS(J186)/G186,0))),0)</f>
        <v>0.227285714285714</v>
      </c>
      <c r="O186" s="26" t="n">
        <v>171</v>
      </c>
    </row>
    <row r="187" customFormat="false" ht="18.75" hidden="false" customHeight="true" outlineLevel="0" collapsed="false">
      <c r="A187" s="6" t="s">
        <v>243</v>
      </c>
      <c r="B187" s="7" t="s">
        <v>64</v>
      </c>
      <c r="C187" s="8" t="s">
        <v>41</v>
      </c>
      <c r="D187" s="8" t="s">
        <v>79</v>
      </c>
      <c r="E187" s="9" t="s">
        <v>22</v>
      </c>
      <c r="F187" s="10" t="n">
        <v>2649.39</v>
      </c>
      <c r="G187" s="11" t="n">
        <v>2350</v>
      </c>
      <c r="H187" s="8" t="s">
        <v>23</v>
      </c>
      <c r="I187" s="8" t="s">
        <v>34</v>
      </c>
      <c r="J187" s="12" t="n">
        <f aca="false">IF(E187="ENTRADA",F187-G187,G187-F187)</f>
        <v>-299.39</v>
      </c>
      <c r="K187" s="13" t="n">
        <f aca="false">IFERROR(IF(G187=0,0,J187/G187),0)</f>
        <v>-0.1274</v>
      </c>
      <c r="L187" s="31" t="n">
        <v>5.72</v>
      </c>
      <c r="M187" s="32" t="s">
        <v>200</v>
      </c>
      <c r="N187" s="13" t="n">
        <f aca="false">IFERROR(IF(E187="ENTRADA",IF(G187=0,1,MIN(F187/G187,2)),IF(G187=0,1,MAX(1-ABS(J187)/G187,0))),0)</f>
        <v>0.8726</v>
      </c>
      <c r="O187" s="16" t="n">
        <v>185</v>
      </c>
    </row>
    <row r="188" customFormat="false" ht="18.75" hidden="false" customHeight="true" outlineLevel="0" collapsed="false">
      <c r="A188" s="17" t="s">
        <v>243</v>
      </c>
      <c r="B188" s="18" t="s">
        <v>120</v>
      </c>
      <c r="C188" s="19" t="s">
        <v>85</v>
      </c>
      <c r="D188" s="19" t="s">
        <v>93</v>
      </c>
      <c r="E188" s="20" t="s">
        <v>22</v>
      </c>
      <c r="F188" s="21" t="n">
        <v>452.98</v>
      </c>
      <c r="G188" s="11" t="n">
        <v>625</v>
      </c>
      <c r="H188" s="19" t="s">
        <v>33</v>
      </c>
      <c r="I188" s="19" t="s">
        <v>34</v>
      </c>
      <c r="J188" s="22" t="n">
        <f aca="false">IF(E188="ENTRADA",F188-G188,G188-F188)</f>
        <v>172.02</v>
      </c>
      <c r="K188" s="23" t="n">
        <f aca="false">IFERROR(IF(G188=0,0,J188/G188),0)</f>
        <v>0.275232</v>
      </c>
      <c r="L188" s="24" t="n">
        <v>0.343</v>
      </c>
      <c r="M188" s="25" t="s">
        <v>25</v>
      </c>
      <c r="N188" s="23" t="n">
        <f aca="false">IFERROR(IF(E188="ENTRADA",IF(G188=0,1,MIN(F188/G188,2)),IF(G188=0,1,MAX(1-ABS(J188)/G188,0))),0)</f>
        <v>0.724768</v>
      </c>
      <c r="O188" s="26" t="n">
        <v>198</v>
      </c>
    </row>
    <row r="189" customFormat="false" ht="18.75" hidden="false" customHeight="true" outlineLevel="0" collapsed="false">
      <c r="A189" s="6" t="s">
        <v>244</v>
      </c>
      <c r="B189" s="7" t="s">
        <v>155</v>
      </c>
      <c r="C189" s="8" t="s">
        <v>20</v>
      </c>
      <c r="D189" s="8" t="s">
        <v>99</v>
      </c>
      <c r="E189" s="9" t="s">
        <v>22</v>
      </c>
      <c r="F189" s="10" t="n">
        <v>140.09</v>
      </c>
      <c r="G189" s="11" t="n">
        <v>70</v>
      </c>
      <c r="H189" s="8" t="s">
        <v>23</v>
      </c>
      <c r="I189" s="8" t="s">
        <v>34</v>
      </c>
      <c r="J189" s="12" t="n">
        <f aca="false">IF(E189="ENTRADA",F189-G189,G189-F189)</f>
        <v>-70.09</v>
      </c>
      <c r="K189" s="13" t="n">
        <f aca="false">IFERROR(IF(G189=0,0,J189/G189),0)</f>
        <v>-1.00128571428571</v>
      </c>
      <c r="L189" s="14" t="n">
        <v>-0.423</v>
      </c>
      <c r="M189" s="15" t="s">
        <v>25</v>
      </c>
      <c r="N189" s="13" t="n">
        <f aca="false">IFERROR(IF(E189="ENTRADA",IF(G189=0,1,MIN(F189/G189,2)),IF(G189=0,1,MAX(1-ABS(J189)/G189,0))),0)</f>
        <v>0</v>
      </c>
      <c r="O189" s="16" t="n">
        <v>190</v>
      </c>
    </row>
    <row r="190" customFormat="false" ht="18.75" hidden="false" customHeight="true" outlineLevel="0" collapsed="false">
      <c r="A190" s="17" t="s">
        <v>244</v>
      </c>
      <c r="B190" s="18" t="s">
        <v>138</v>
      </c>
      <c r="C190" s="19" t="s">
        <v>27</v>
      </c>
      <c r="D190" s="19" t="s">
        <v>146</v>
      </c>
      <c r="E190" s="20" t="s">
        <v>22</v>
      </c>
      <c r="F190" s="21" t="n">
        <v>387.75</v>
      </c>
      <c r="G190" s="11" t="n">
        <v>240</v>
      </c>
      <c r="H190" s="19" t="s">
        <v>29</v>
      </c>
      <c r="I190" s="19" t="s">
        <v>24</v>
      </c>
      <c r="J190" s="22" t="n">
        <f aca="false">IF(E190="ENTRADA",F190-G190,G190-F190)</f>
        <v>-147.75</v>
      </c>
      <c r="K190" s="23" t="n">
        <f aca="false">IFERROR(IF(G190=0,0,J190/G190),0)</f>
        <v>-0.615625</v>
      </c>
      <c r="L190" s="24" t="n">
        <v>0.183</v>
      </c>
      <c r="M190" s="25" t="s">
        <v>25</v>
      </c>
      <c r="N190" s="23" t="n">
        <f aca="false">IFERROR(IF(E190="ENTRADA",IF(G190=0,1,MIN(F190/G190,2)),IF(G190=0,1,MAX(1-ABS(J190)/G190,0))),0)</f>
        <v>0.384375</v>
      </c>
      <c r="O190" s="26" t="n">
        <v>193</v>
      </c>
    </row>
    <row r="191" customFormat="false" ht="18.75" hidden="false" customHeight="true" outlineLevel="0" collapsed="false">
      <c r="A191" s="6" t="s">
        <v>245</v>
      </c>
      <c r="B191" s="7" t="s">
        <v>246</v>
      </c>
      <c r="C191" s="8" t="s">
        <v>46</v>
      </c>
      <c r="D191" s="8" t="s">
        <v>47</v>
      </c>
      <c r="E191" s="28" t="s">
        <v>48</v>
      </c>
      <c r="F191" s="10" t="n">
        <v>7892.46</v>
      </c>
      <c r="G191" s="11" t="n">
        <v>8500</v>
      </c>
      <c r="H191" s="8" t="s">
        <v>29</v>
      </c>
      <c r="I191" s="8" t="s">
        <v>34</v>
      </c>
      <c r="J191" s="12" t="n">
        <f aca="false">IF(E191="ENTRADA",F191-G191,G191-F191)</f>
        <v>-607.54</v>
      </c>
      <c r="K191" s="13" t="n">
        <f aca="false">IFERROR(IF(G191=0,0,J191/G191),0)</f>
        <v>-0.0714752941176471</v>
      </c>
      <c r="L191" s="14" t="n">
        <v>0</v>
      </c>
      <c r="M191" s="16" t="s">
        <v>49</v>
      </c>
      <c r="N191" s="13" t="n">
        <f aca="false">IFERROR(IF(E191="ENTRADA",IF(G191=0,1,MIN(F191/G191,2)),IF(G191=0,1,MAX(1-ABS(J191)/G191,0))),0)</f>
        <v>0.928524705882353</v>
      </c>
      <c r="O191" s="16" t="n">
        <v>181</v>
      </c>
    </row>
    <row r="192" customFormat="false" ht="18.75" hidden="false" customHeight="true" outlineLevel="0" collapsed="false">
      <c r="A192" s="17" t="s">
        <v>247</v>
      </c>
      <c r="B192" s="18" t="s">
        <v>101</v>
      </c>
      <c r="C192" s="19" t="s">
        <v>85</v>
      </c>
      <c r="D192" s="19" t="s">
        <v>93</v>
      </c>
      <c r="E192" s="20" t="s">
        <v>22</v>
      </c>
      <c r="F192" s="21" t="n">
        <v>17.33</v>
      </c>
      <c r="G192" s="11" t="n">
        <v>625</v>
      </c>
      <c r="H192" s="19" t="s">
        <v>38</v>
      </c>
      <c r="I192" s="19" t="s">
        <v>34</v>
      </c>
      <c r="J192" s="22" t="n">
        <f aca="false">IF(E192="ENTRADA",F192-G192,G192-F192)</f>
        <v>607.67</v>
      </c>
      <c r="K192" s="23" t="n">
        <f aca="false">IFERROR(IF(G192=0,0,J192/G192),0)</f>
        <v>0.972272</v>
      </c>
      <c r="L192" s="24" t="n">
        <v>-0.724</v>
      </c>
      <c r="M192" s="25" t="s">
        <v>25</v>
      </c>
      <c r="N192" s="23" t="n">
        <f aca="false">IFERROR(IF(E192="ENTRADA",IF(G192=0,1,MIN(F192/G192,2)),IF(G192=0,1,MAX(1-ABS(J192)/G192,0))),0)</f>
        <v>0.0277280000000001</v>
      </c>
      <c r="O192" s="26" t="n">
        <v>200</v>
      </c>
    </row>
    <row r="193" customFormat="false" ht="18.75" hidden="false" customHeight="true" outlineLevel="0" collapsed="false">
      <c r="A193" s="6" t="s">
        <v>248</v>
      </c>
      <c r="B193" s="7" t="s">
        <v>26</v>
      </c>
      <c r="C193" s="8" t="s">
        <v>27</v>
      </c>
      <c r="D193" s="8" t="s">
        <v>109</v>
      </c>
      <c r="E193" s="9" t="s">
        <v>22</v>
      </c>
      <c r="F193" s="10" t="n">
        <v>302.15</v>
      </c>
      <c r="G193" s="11" t="n">
        <v>240</v>
      </c>
      <c r="H193" s="8" t="s">
        <v>29</v>
      </c>
      <c r="I193" s="8" t="s">
        <v>24</v>
      </c>
      <c r="J193" s="12" t="n">
        <f aca="false">IF(E193="ENTRADA",F193-G193,G193-F193)</f>
        <v>-62.15</v>
      </c>
      <c r="K193" s="13" t="n">
        <f aca="false">IFERROR(IF(G193=0,0,J193/G193),0)</f>
        <v>-0.258958333333333</v>
      </c>
      <c r="L193" s="14" t="n">
        <v>-0.027</v>
      </c>
      <c r="M193" s="15" t="s">
        <v>25</v>
      </c>
      <c r="N193" s="13" t="n">
        <f aca="false">IFERROR(IF(E193="ENTRADA",IF(G193=0,1,MIN(F193/G193,2)),IF(G193=0,1,MAX(1-ABS(J193)/G193,0))),0)</f>
        <v>0.741041666666667</v>
      </c>
      <c r="O193" s="16" t="n">
        <v>192</v>
      </c>
    </row>
    <row r="194" customFormat="false" ht="18.75" hidden="false" customHeight="true" outlineLevel="0" collapsed="false">
      <c r="A194" s="17" t="s">
        <v>249</v>
      </c>
      <c r="B194" s="18" t="s">
        <v>98</v>
      </c>
      <c r="C194" s="19" t="s">
        <v>20</v>
      </c>
      <c r="D194" s="19" t="s">
        <v>191</v>
      </c>
      <c r="E194" s="20" t="s">
        <v>22</v>
      </c>
      <c r="F194" s="21" t="n">
        <v>58.61</v>
      </c>
      <c r="G194" s="11" t="n">
        <v>70</v>
      </c>
      <c r="H194" s="19" t="s">
        <v>29</v>
      </c>
      <c r="I194" s="19" t="s">
        <v>24</v>
      </c>
      <c r="J194" s="22" t="n">
        <f aca="false">IF(E194="ENTRADA",F194-G194,G194-F194)</f>
        <v>11.39</v>
      </c>
      <c r="K194" s="23" t="n">
        <f aca="false">IFERROR(IF(G194=0,0,J194/G194),0)</f>
        <v>0.162714285714286</v>
      </c>
      <c r="L194" s="24" t="n">
        <v>-0.623</v>
      </c>
      <c r="M194" s="25" t="s">
        <v>25</v>
      </c>
      <c r="N194" s="23" t="n">
        <f aca="false">IFERROR(IF(E194="ENTRADA",IF(G194=0,1,MIN(F194/G194,2)),IF(G194=0,1,MAX(1-ABS(J194)/G194,0))),0)</f>
        <v>0.837285714285714</v>
      </c>
      <c r="O194" s="26" t="n">
        <v>186</v>
      </c>
    </row>
    <row r="195" customFormat="false" ht="18.75" hidden="false" customHeight="true" outlineLevel="0" collapsed="false">
      <c r="A195" s="6" t="s">
        <v>249</v>
      </c>
      <c r="B195" s="7" t="s">
        <v>92</v>
      </c>
      <c r="C195" s="8" t="s">
        <v>85</v>
      </c>
      <c r="D195" s="8" t="s">
        <v>91</v>
      </c>
      <c r="E195" s="9" t="s">
        <v>22</v>
      </c>
      <c r="F195" s="10" t="n">
        <v>434.63</v>
      </c>
      <c r="G195" s="11" t="n">
        <v>625</v>
      </c>
      <c r="H195" s="8" t="s">
        <v>43</v>
      </c>
      <c r="I195" s="8" t="s">
        <v>34</v>
      </c>
      <c r="J195" s="12" t="n">
        <f aca="false">IF(E195="ENTRADA",F195-G195,G195-F195)</f>
        <v>190.37</v>
      </c>
      <c r="K195" s="13" t="n">
        <f aca="false">IFERROR(IF(G195=0,0,J195/G195),0)</f>
        <v>0.304592</v>
      </c>
      <c r="L195" s="14" t="n">
        <v>0.298</v>
      </c>
      <c r="M195" s="15" t="s">
        <v>25</v>
      </c>
      <c r="N195" s="13" t="n">
        <f aca="false">IFERROR(IF(E195="ENTRADA",IF(G195=0,1,MIN(F195/G195,2)),IF(G195=0,1,MAX(1-ABS(J195)/G195,0))),0)</f>
        <v>0.695408</v>
      </c>
      <c r="O195" s="16" t="n">
        <v>201</v>
      </c>
    </row>
    <row r="196" customFormat="false" ht="18.75" hidden="false" customHeight="true" outlineLevel="0" collapsed="false">
      <c r="A196" s="17" t="s">
        <v>250</v>
      </c>
      <c r="B196" s="18" t="s">
        <v>166</v>
      </c>
      <c r="C196" s="19" t="s">
        <v>20</v>
      </c>
      <c r="D196" s="19" t="s">
        <v>99</v>
      </c>
      <c r="E196" s="20" t="s">
        <v>22</v>
      </c>
      <c r="F196" s="21" t="n">
        <v>78.53</v>
      </c>
      <c r="G196" s="11" t="n">
        <v>70</v>
      </c>
      <c r="H196" s="19" t="s">
        <v>43</v>
      </c>
      <c r="I196" s="19" t="s">
        <v>24</v>
      </c>
      <c r="J196" s="22" t="n">
        <f aca="false">IF(E196="ENTRADA",F196-G196,G196-F196)</f>
        <v>-8.53</v>
      </c>
      <c r="K196" s="23" t="n">
        <f aca="false">IFERROR(IF(G196=0,0,J196/G196),0)</f>
        <v>-0.121857142857143</v>
      </c>
      <c r="L196" s="24" t="n">
        <v>-0.574</v>
      </c>
      <c r="M196" s="25" t="s">
        <v>25</v>
      </c>
      <c r="N196" s="23" t="n">
        <f aca="false">IFERROR(IF(E196="ENTRADA",IF(G196=0,1,MIN(F196/G196,2)),IF(G196=0,1,MAX(1-ABS(J196)/G196,0))),0)</f>
        <v>0.878142857142857</v>
      </c>
      <c r="O196" s="26" t="n">
        <v>188</v>
      </c>
    </row>
    <row r="197" customFormat="false" ht="18.75" hidden="false" customHeight="true" outlineLevel="0" collapsed="false">
      <c r="A197" s="6" t="s">
        <v>250</v>
      </c>
      <c r="B197" s="7" t="s">
        <v>59</v>
      </c>
      <c r="C197" s="8" t="s">
        <v>31</v>
      </c>
      <c r="D197" s="8" t="s">
        <v>60</v>
      </c>
      <c r="E197" s="9" t="s">
        <v>22</v>
      </c>
      <c r="F197" s="10" t="n">
        <v>190.1</v>
      </c>
      <c r="G197" s="11" t="n">
        <v>93.33</v>
      </c>
      <c r="H197" s="8" t="s">
        <v>33</v>
      </c>
      <c r="I197" s="8" t="s">
        <v>24</v>
      </c>
      <c r="J197" s="12" t="n">
        <f aca="false">IF(E197="ENTRADA",F197-G197,G197-F197)</f>
        <v>-96.77</v>
      </c>
      <c r="K197" s="13" t="n">
        <f aca="false">IFERROR(IF(G197=0,0,J197/G197),0)</f>
        <v>-1.03685845923069</v>
      </c>
      <c r="L197" s="14" t="n">
        <v>-0.301</v>
      </c>
      <c r="M197" s="15" t="s">
        <v>25</v>
      </c>
      <c r="N197" s="13" t="n">
        <f aca="false">IFERROR(IF(E197="ENTRADA",IF(G197=0,1,MIN(F197/G197,2)),IF(G197=0,1,MAX(1-ABS(J197)/G197,0))),0)</f>
        <v>0</v>
      </c>
      <c r="O197" s="16" t="n">
        <v>196</v>
      </c>
    </row>
    <row r="198" customFormat="false" ht="18.75" hidden="false" customHeight="true" outlineLevel="0" collapsed="false">
      <c r="A198" s="17" t="s">
        <v>251</v>
      </c>
      <c r="B198" s="18" t="s">
        <v>51</v>
      </c>
      <c r="C198" s="19" t="s">
        <v>52</v>
      </c>
      <c r="D198" s="19" t="s">
        <v>58</v>
      </c>
      <c r="E198" s="20" t="s">
        <v>22</v>
      </c>
      <c r="F198" s="21" t="n">
        <v>214.03</v>
      </c>
      <c r="G198" s="11" t="n">
        <v>300</v>
      </c>
      <c r="H198" s="19" t="s">
        <v>33</v>
      </c>
      <c r="I198" s="19" t="s">
        <v>34</v>
      </c>
      <c r="J198" s="22" t="n">
        <f aca="false">IF(E198="ENTRADA",F198-G198,G198-F198)</f>
        <v>85.97</v>
      </c>
      <c r="K198" s="23" t="n">
        <f aca="false">IFERROR(IF(G198=0,0,J198/G198),0)</f>
        <v>0.286566666666667</v>
      </c>
      <c r="L198" s="24" t="n">
        <v>-0.242</v>
      </c>
      <c r="M198" s="25" t="s">
        <v>25</v>
      </c>
      <c r="N198" s="23" t="n">
        <f aca="false">IFERROR(IF(E198="ENTRADA",IF(G198=0,1,MIN(F198/G198,2)),IF(G198=0,1,MAX(1-ABS(J198)/G198,0))),0)</f>
        <v>0.713433333333333</v>
      </c>
      <c r="O198" s="26" t="n">
        <v>184</v>
      </c>
    </row>
    <row r="199" customFormat="false" ht="18.75" hidden="false" customHeight="true" outlineLevel="0" collapsed="false">
      <c r="A199" s="6" t="s">
        <v>252</v>
      </c>
      <c r="B199" s="7" t="s">
        <v>55</v>
      </c>
      <c r="C199" s="8" t="s">
        <v>27</v>
      </c>
      <c r="D199" s="8" t="s">
        <v>80</v>
      </c>
      <c r="E199" s="9" t="s">
        <v>22</v>
      </c>
      <c r="F199" s="10" t="n">
        <v>147.3</v>
      </c>
      <c r="G199" s="11" t="n">
        <v>240</v>
      </c>
      <c r="H199" s="8" t="s">
        <v>29</v>
      </c>
      <c r="I199" s="8" t="s">
        <v>24</v>
      </c>
      <c r="J199" s="12" t="n">
        <f aca="false">IF(E199="ENTRADA",F199-G199,G199-F199)</f>
        <v>92.7</v>
      </c>
      <c r="K199" s="13" t="n">
        <f aca="false">IFERROR(IF(G199=0,0,J199/G199),0)</f>
        <v>0.38625</v>
      </c>
      <c r="L199" s="14" t="n">
        <v>-0.406</v>
      </c>
      <c r="M199" s="15" t="s">
        <v>25</v>
      </c>
      <c r="N199" s="13" t="n">
        <f aca="false">IFERROR(IF(E199="ENTRADA",IF(G199=0,1,MIN(F199/G199,2)),IF(G199=0,1,MAX(1-ABS(J199)/G199,0))),0)</f>
        <v>0.61375</v>
      </c>
      <c r="O199" s="16" t="n">
        <v>191</v>
      </c>
    </row>
    <row r="200" customFormat="false" ht="18.75" hidden="false" customHeight="true" outlineLevel="0" collapsed="false">
      <c r="A200" s="17" t="s">
        <v>253</v>
      </c>
      <c r="B200" s="18" t="s">
        <v>92</v>
      </c>
      <c r="C200" s="19" t="s">
        <v>85</v>
      </c>
      <c r="D200" s="19" t="s">
        <v>91</v>
      </c>
      <c r="E200" s="20" t="s">
        <v>22</v>
      </c>
      <c r="F200" s="21" t="n">
        <v>616.26</v>
      </c>
      <c r="G200" s="11" t="n">
        <v>625</v>
      </c>
      <c r="H200" s="19" t="s">
        <v>43</v>
      </c>
      <c r="I200" s="19" t="s">
        <v>34</v>
      </c>
      <c r="J200" s="22" t="n">
        <f aca="false">IF(E200="ENTRADA",F200-G200,G200-F200)</f>
        <v>8.74000000000001</v>
      </c>
      <c r="K200" s="23" t="n">
        <f aca="false">IFERROR(IF(G200=0,0,J200/G200),0)</f>
        <v>0.013984</v>
      </c>
      <c r="L200" s="24" t="n">
        <v>0.742</v>
      </c>
      <c r="M200" s="25" t="s">
        <v>25</v>
      </c>
      <c r="N200" s="23" t="n">
        <f aca="false">IFERROR(IF(E200="ENTRADA",IF(G200=0,1,MIN(F200/G200,2)),IF(G200=0,1,MAX(1-ABS(J200)/G200,0))),0)</f>
        <v>0.986016</v>
      </c>
      <c r="O200" s="26" t="n">
        <v>199</v>
      </c>
    </row>
    <row r="201" customFormat="false" ht="18.75" hidden="false" customHeight="true" outlineLevel="0" collapsed="false">
      <c r="A201" s="6" t="s">
        <v>254</v>
      </c>
      <c r="B201" s="7" t="s">
        <v>104</v>
      </c>
      <c r="C201" s="8" t="s">
        <v>76</v>
      </c>
      <c r="D201" s="8" t="s">
        <v>175</v>
      </c>
      <c r="E201" s="9" t="s">
        <v>22</v>
      </c>
      <c r="F201" s="10" t="n">
        <v>156.22</v>
      </c>
      <c r="G201" s="11" t="n">
        <v>300</v>
      </c>
      <c r="H201" s="8" t="s">
        <v>38</v>
      </c>
      <c r="I201" s="8" t="s">
        <v>24</v>
      </c>
      <c r="J201" s="12" t="n">
        <f aca="false">IF(E201="ENTRADA",F201-G201,G201-F201)</f>
        <v>143.78</v>
      </c>
      <c r="K201" s="13" t="n">
        <f aca="false">IFERROR(IF(G201=0,0,J201/G201),0)</f>
        <v>0.479266666666667</v>
      </c>
      <c r="L201" s="14" t="n">
        <v>-0.384</v>
      </c>
      <c r="M201" s="15" t="s">
        <v>25</v>
      </c>
      <c r="N201" s="13" t="n">
        <f aca="false">IFERROR(IF(E201="ENTRADA",IF(G201=0,1,MIN(F201/G201,2)),IF(G201=0,1,MAX(1-ABS(J201)/G201,0))),0)</f>
        <v>0.520733333333333</v>
      </c>
      <c r="O201" s="16" t="n">
        <v>202</v>
      </c>
    </row>
    <row r="202" customFormat="false" ht="18.75" hidden="false" customHeight="true" outlineLevel="0" collapsed="false">
      <c r="A202" s="17" t="s">
        <v>255</v>
      </c>
      <c r="B202" s="18" t="s">
        <v>59</v>
      </c>
      <c r="C202" s="19" t="s">
        <v>31</v>
      </c>
      <c r="D202" s="19" t="s">
        <v>96</v>
      </c>
      <c r="E202" s="20" t="s">
        <v>22</v>
      </c>
      <c r="F202" s="21" t="n">
        <v>74.96</v>
      </c>
      <c r="G202" s="11" t="n">
        <v>93.33</v>
      </c>
      <c r="H202" s="19" t="s">
        <v>33</v>
      </c>
      <c r="I202" s="19" t="s">
        <v>24</v>
      </c>
      <c r="J202" s="22" t="n">
        <f aca="false">IF(E202="ENTRADA",F202-G202,G202-F202)</f>
        <v>18.37</v>
      </c>
      <c r="K202" s="23" t="n">
        <f aca="false">IFERROR(IF(G202=0,0,J202/G202),0)</f>
        <v>0.19682845815922</v>
      </c>
      <c r="L202" s="24" t="n">
        <v>-0.583</v>
      </c>
      <c r="M202" s="25" t="s">
        <v>25</v>
      </c>
      <c r="N202" s="23" t="n">
        <f aca="false">IFERROR(IF(E202="ENTRADA",IF(G202=0,1,MIN(F202/G202,2)),IF(G202=0,1,MAX(1-ABS(J202)/G202,0))),0)</f>
        <v>0.80317154184078</v>
      </c>
      <c r="O202" s="26" t="n">
        <v>194</v>
      </c>
    </row>
    <row r="203" customFormat="false" ht="18.75" hidden="false" customHeight="true" outlineLevel="0" collapsed="false">
      <c r="A203" s="6" t="s">
        <v>256</v>
      </c>
      <c r="B203" s="7" t="s">
        <v>88</v>
      </c>
      <c r="C203" s="8" t="s">
        <v>52</v>
      </c>
      <c r="D203" s="8" t="s">
        <v>89</v>
      </c>
      <c r="E203" s="9" t="s">
        <v>22</v>
      </c>
      <c r="F203" s="10" t="n">
        <v>225.04</v>
      </c>
      <c r="G203" s="11" t="n">
        <v>300</v>
      </c>
      <c r="H203" s="8" t="s">
        <v>38</v>
      </c>
      <c r="I203" s="8" t="s">
        <v>24</v>
      </c>
      <c r="J203" s="12" t="n">
        <f aca="false">IF(E203="ENTRADA",F203-G203,G203-F203)</f>
        <v>74.96</v>
      </c>
      <c r="K203" s="13" t="n">
        <f aca="false">IFERROR(IF(G203=0,0,J203/G203),0)</f>
        <v>0.249866666666667</v>
      </c>
      <c r="L203" s="14" t="n">
        <v>-0.215</v>
      </c>
      <c r="M203" s="15" t="s">
        <v>25</v>
      </c>
      <c r="N203" s="13" t="n">
        <f aca="false">IFERROR(IF(E203="ENTRADA",IF(G203=0,1,MIN(F203/G203,2)),IF(G203=0,1,MAX(1-ABS(J203)/G203,0))),0)</f>
        <v>0.750133333333333</v>
      </c>
      <c r="O203" s="16" t="n">
        <v>182</v>
      </c>
    </row>
    <row r="204" customFormat="false" ht="18.75" hidden="false" customHeight="true" outlineLevel="0" collapsed="false">
      <c r="A204" s="17" t="s">
        <v>256</v>
      </c>
      <c r="B204" s="18" t="s">
        <v>98</v>
      </c>
      <c r="C204" s="19" t="s">
        <v>20</v>
      </c>
      <c r="D204" s="19" t="s">
        <v>21</v>
      </c>
      <c r="E204" s="20" t="s">
        <v>22</v>
      </c>
      <c r="F204" s="21" t="n">
        <v>82.39</v>
      </c>
      <c r="G204" s="11" t="n">
        <v>70</v>
      </c>
      <c r="H204" s="19" t="s">
        <v>23</v>
      </c>
      <c r="I204" s="19" t="s">
        <v>24</v>
      </c>
      <c r="J204" s="22" t="n">
        <f aca="false">IF(E204="ENTRADA",F204-G204,G204-F204)</f>
        <v>-12.39</v>
      </c>
      <c r="K204" s="23" t="n">
        <f aca="false">IFERROR(IF(G204=0,0,J204/G204),0)</f>
        <v>-0.177</v>
      </c>
      <c r="L204" s="24" t="n">
        <v>-0.565</v>
      </c>
      <c r="M204" s="25" t="s">
        <v>25</v>
      </c>
      <c r="N204" s="23" t="n">
        <f aca="false">IFERROR(IF(E204="ENTRADA",IF(G204=0,1,MIN(F204/G204,2)),IF(G204=0,1,MAX(1-ABS(J204)/G204,0))),0)</f>
        <v>0.823</v>
      </c>
      <c r="O204" s="26" t="n">
        <v>187</v>
      </c>
    </row>
    <row r="205" customFormat="false" ht="18.75" hidden="false" customHeight="true" outlineLevel="0" collapsed="false">
      <c r="A205" s="6" t="s">
        <v>256</v>
      </c>
      <c r="B205" s="7" t="s">
        <v>144</v>
      </c>
      <c r="C205" s="8" t="s">
        <v>31</v>
      </c>
      <c r="D205" s="8" t="s">
        <v>60</v>
      </c>
      <c r="E205" s="9" t="s">
        <v>22</v>
      </c>
      <c r="F205" s="10" t="n">
        <v>117.74</v>
      </c>
      <c r="G205" s="11" t="n">
        <v>93.33</v>
      </c>
      <c r="H205" s="8" t="s">
        <v>29</v>
      </c>
      <c r="I205" s="8" t="s">
        <v>34</v>
      </c>
      <c r="J205" s="12" t="n">
        <f aca="false">IF(E205="ENTRADA",F205-G205,G205-F205)</f>
        <v>-24.41</v>
      </c>
      <c r="K205" s="13" t="n">
        <f aca="false">IFERROR(IF(G205=0,0,J205/G205),0)</f>
        <v>-0.261545055180542</v>
      </c>
      <c r="L205" s="14" t="n">
        <v>-0.478</v>
      </c>
      <c r="M205" s="15" t="s">
        <v>25</v>
      </c>
      <c r="N205" s="13" t="n">
        <f aca="false">IFERROR(IF(E205="ENTRADA",IF(G205=0,1,MIN(F205/G205,2)),IF(G205=0,1,MAX(1-ABS(J205)/G205,0))),0)</f>
        <v>0.738454944819458</v>
      </c>
      <c r="O205" s="16" t="n">
        <v>195</v>
      </c>
    </row>
    <row r="206" customFormat="false" ht="18.75" hidden="false" customHeight="true" outlineLevel="0" collapsed="false">
      <c r="A206" s="17" t="s">
        <v>257</v>
      </c>
      <c r="B206" s="18" t="s">
        <v>106</v>
      </c>
      <c r="C206" s="19" t="s">
        <v>20</v>
      </c>
      <c r="D206" s="19" t="s">
        <v>99</v>
      </c>
      <c r="E206" s="20" t="s">
        <v>22</v>
      </c>
      <c r="F206" s="21" t="n">
        <v>73.63</v>
      </c>
      <c r="G206" s="11" t="n">
        <v>70</v>
      </c>
      <c r="H206" s="19" t="s">
        <v>33</v>
      </c>
      <c r="I206" s="19" t="s">
        <v>34</v>
      </c>
      <c r="J206" s="22" t="n">
        <f aca="false">IF(E206="ENTRADA",F206-G206,G206-F206)</f>
        <v>-3.63</v>
      </c>
      <c r="K206" s="23" t="n">
        <f aca="false">IFERROR(IF(G206=0,0,J206/G206),0)</f>
        <v>-0.0518571428571428</v>
      </c>
      <c r="L206" s="24" t="n">
        <v>-0.586</v>
      </c>
      <c r="M206" s="25" t="s">
        <v>25</v>
      </c>
      <c r="N206" s="23" t="n">
        <f aca="false">IFERROR(IF(E206="ENTRADA",IF(G206=0,1,MIN(F206/G206,2)),IF(G206=0,1,MAX(1-ABS(J206)/G206,0))),0)</f>
        <v>0.948142857142857</v>
      </c>
      <c r="O206" s="26" t="n">
        <v>189</v>
      </c>
    </row>
    <row r="207" customFormat="false" ht="18.75" hidden="false" customHeight="true" outlineLevel="0" collapsed="false">
      <c r="A207" s="6" t="s">
        <v>258</v>
      </c>
      <c r="B207" s="7" t="s">
        <v>73</v>
      </c>
      <c r="C207" s="8" t="s">
        <v>36</v>
      </c>
      <c r="D207" s="8" t="s">
        <v>37</v>
      </c>
      <c r="E207" s="9" t="s">
        <v>22</v>
      </c>
      <c r="F207" s="10" t="n">
        <v>348.49</v>
      </c>
      <c r="G207" s="11" t="n">
        <v>400</v>
      </c>
      <c r="H207" s="8" t="s">
        <v>23</v>
      </c>
      <c r="I207" s="8" t="s">
        <v>24</v>
      </c>
      <c r="J207" s="12" t="n">
        <f aca="false">IF(E207="ENTRADA",F207-G207,G207-F207)</f>
        <v>51.51</v>
      </c>
      <c r="K207" s="13" t="n">
        <f aca="false">IFERROR(IF(G207=0,0,J207/G207),0)</f>
        <v>0.128775</v>
      </c>
      <c r="L207" s="14" t="n">
        <v>0.087</v>
      </c>
      <c r="M207" s="15" t="s">
        <v>25</v>
      </c>
      <c r="N207" s="13" t="n">
        <f aca="false">IFERROR(IF(E207="ENTRADA",IF(G207=0,1,MIN(F207/G207,2)),IF(G207=0,1,MAX(1-ABS(J207)/G207,0))),0)</f>
        <v>0.871225</v>
      </c>
      <c r="O207" s="16" t="n">
        <v>197</v>
      </c>
    </row>
    <row r="208" customFormat="false" ht="18.75" hidden="false" customHeight="true" outlineLevel="0" collapsed="false">
      <c r="A208" s="17" t="s">
        <v>259</v>
      </c>
      <c r="B208" s="18" t="s">
        <v>131</v>
      </c>
      <c r="C208" s="19" t="s">
        <v>52</v>
      </c>
      <c r="D208" s="19" t="s">
        <v>58</v>
      </c>
      <c r="E208" s="20" t="s">
        <v>22</v>
      </c>
      <c r="F208" s="21" t="n">
        <v>352.6</v>
      </c>
      <c r="G208" s="11" t="n">
        <v>300</v>
      </c>
      <c r="H208" s="19" t="s">
        <v>29</v>
      </c>
      <c r="I208" s="19" t="s">
        <v>34</v>
      </c>
      <c r="J208" s="22" t="n">
        <f aca="false">IF(E208="ENTRADA",F208-G208,G208-F208)</f>
        <v>-52.6</v>
      </c>
      <c r="K208" s="23" t="n">
        <f aca="false">IFERROR(IF(G208=0,0,J208/G208),0)</f>
        <v>-0.175333333333333</v>
      </c>
      <c r="L208" s="24" t="n">
        <v>0.097</v>
      </c>
      <c r="M208" s="25" t="s">
        <v>25</v>
      </c>
      <c r="N208" s="23" t="n">
        <f aca="false">IFERROR(IF(E208="ENTRADA",IF(G208=0,1,MIN(F208/G208,2)),IF(G208=0,1,MAX(1-ABS(J208)/G208,0))),0)</f>
        <v>0.824666666666667</v>
      </c>
      <c r="O208" s="26" t="n">
        <v>183</v>
      </c>
    </row>
    <row r="209" customFormat="false" ht="18.75" hidden="false" customHeight="true" outlineLevel="0" collapsed="false">
      <c r="A209" s="6" t="s">
        <v>260</v>
      </c>
      <c r="B209" s="7" t="s">
        <v>26</v>
      </c>
      <c r="C209" s="8" t="s">
        <v>27</v>
      </c>
      <c r="D209" s="8" t="s">
        <v>109</v>
      </c>
      <c r="E209" s="9" t="s">
        <v>22</v>
      </c>
      <c r="F209" s="10" t="n">
        <v>93.07</v>
      </c>
      <c r="G209" s="11" t="n">
        <v>180</v>
      </c>
      <c r="H209" s="8" t="s">
        <v>23</v>
      </c>
      <c r="I209" s="8" t="s">
        <v>24</v>
      </c>
      <c r="J209" s="12" t="n">
        <f aca="false">IF(E209="ENTRADA",F209-G209,G209-F209)</f>
        <v>86.93</v>
      </c>
      <c r="K209" s="13" t="n">
        <f aca="false">IFERROR(IF(G209=0,0,J209/G209),0)</f>
        <v>0.482944444444445</v>
      </c>
      <c r="L209" s="14" t="n">
        <v>-0.538</v>
      </c>
      <c r="M209" s="15" t="s">
        <v>25</v>
      </c>
      <c r="N209" s="13" t="n">
        <f aca="false">IFERROR(IF(E209="ENTRADA",IF(G209=0,1,MIN(F209/G209,2)),IF(G209=0,1,MAX(1-ABS(J209)/G209,0))),0)</f>
        <v>0.517055555555556</v>
      </c>
      <c r="O209" s="16" t="n">
        <v>216</v>
      </c>
    </row>
    <row r="210" customFormat="false" ht="18.75" hidden="false" customHeight="true" outlineLevel="0" collapsed="false">
      <c r="A210" s="17" t="s">
        <v>261</v>
      </c>
      <c r="B210" s="18" t="s">
        <v>51</v>
      </c>
      <c r="C210" s="19" t="s">
        <v>52</v>
      </c>
      <c r="D210" s="19" t="s">
        <v>89</v>
      </c>
      <c r="E210" s="20" t="s">
        <v>22</v>
      </c>
      <c r="F210" s="21" t="n">
        <v>199.32</v>
      </c>
      <c r="G210" s="11" t="n">
        <v>225</v>
      </c>
      <c r="H210" s="19" t="s">
        <v>29</v>
      </c>
      <c r="I210" s="19" t="s">
        <v>34</v>
      </c>
      <c r="J210" s="22" t="n">
        <f aca="false">IF(E210="ENTRADA",F210-G210,G210-F210)</f>
        <v>25.68</v>
      </c>
      <c r="K210" s="23" t="n">
        <f aca="false">IFERROR(IF(G210=0,0,J210/G210),0)</f>
        <v>0.114133333333333</v>
      </c>
      <c r="L210" s="24" t="n">
        <v>-0.278</v>
      </c>
      <c r="M210" s="25" t="s">
        <v>25</v>
      </c>
      <c r="N210" s="23" t="n">
        <f aca="false">IFERROR(IF(E210="ENTRADA",IF(G210=0,1,MIN(F210/G210,2)),IF(G210=0,1,MAX(1-ABS(J210)/G210,0))),0)</f>
        <v>0.885866666666667</v>
      </c>
      <c r="O210" s="26" t="n">
        <v>205</v>
      </c>
    </row>
    <row r="211" customFormat="false" ht="18.75" hidden="false" customHeight="true" outlineLevel="0" collapsed="false">
      <c r="A211" s="6" t="s">
        <v>261</v>
      </c>
      <c r="B211" s="7" t="s">
        <v>75</v>
      </c>
      <c r="C211" s="8" t="s">
        <v>76</v>
      </c>
      <c r="D211" s="8" t="s">
        <v>125</v>
      </c>
      <c r="E211" s="9" t="s">
        <v>22</v>
      </c>
      <c r="F211" s="10" t="n">
        <v>84.57</v>
      </c>
      <c r="G211" s="11" t="n">
        <v>60</v>
      </c>
      <c r="H211" s="8" t="s">
        <v>38</v>
      </c>
      <c r="I211" s="8" t="s">
        <v>34</v>
      </c>
      <c r="J211" s="12" t="n">
        <f aca="false">IF(E211="ENTRADA",F211-G211,G211-F211)</f>
        <v>-24.57</v>
      </c>
      <c r="K211" s="13" t="n">
        <f aca="false">IFERROR(IF(G211=0,0,J211/G211),0)</f>
        <v>-0.4095</v>
      </c>
      <c r="L211" s="14" t="n">
        <v>-0.559</v>
      </c>
      <c r="M211" s="15" t="s">
        <v>25</v>
      </c>
      <c r="N211" s="13" t="n">
        <f aca="false">IFERROR(IF(E211="ENTRADA",IF(G211=0,1,MIN(F211/G211,2)),IF(G211=0,1,MAX(1-ABS(J211)/G211,0))),0)</f>
        <v>0.5905</v>
      </c>
      <c r="O211" s="16" t="n">
        <v>223</v>
      </c>
    </row>
    <row r="212" customFormat="false" ht="18.75" hidden="false" customHeight="true" outlineLevel="0" collapsed="false">
      <c r="A212" s="17" t="s">
        <v>262</v>
      </c>
      <c r="B212" s="18" t="s">
        <v>263</v>
      </c>
      <c r="C212" s="19" t="s">
        <v>46</v>
      </c>
      <c r="D212" s="19" t="s">
        <v>47</v>
      </c>
      <c r="E212" s="27" t="s">
        <v>48</v>
      </c>
      <c r="F212" s="21" t="n">
        <v>8989.72</v>
      </c>
      <c r="G212" s="11" t="n">
        <v>8500</v>
      </c>
      <c r="H212" s="19" t="s">
        <v>29</v>
      </c>
      <c r="I212" s="19" t="s">
        <v>34</v>
      </c>
      <c r="J212" s="22" t="n">
        <f aca="false">IF(E212="ENTRADA",F212-G212,G212-F212)</f>
        <v>489.719999999999</v>
      </c>
      <c r="K212" s="23" t="n">
        <f aca="false">IFERROR(IF(G212=0,0,J212/G212),0)</f>
        <v>0.0576141176470587</v>
      </c>
      <c r="L212" s="24" t="n">
        <v>0</v>
      </c>
      <c r="M212" s="26" t="s">
        <v>49</v>
      </c>
      <c r="N212" s="23" t="n">
        <f aca="false">IFERROR(IF(E212="ENTRADA",IF(G212=0,1,MIN(F212/G212,2)),IF(G212=0,1,MAX(1-ABS(J212)/G212,0))),0)</f>
        <v>1.05761411764706</v>
      </c>
      <c r="O212" s="26" t="n">
        <v>203</v>
      </c>
    </row>
    <row r="213" customFormat="false" ht="18.75" hidden="false" customHeight="true" outlineLevel="0" collapsed="false">
      <c r="A213" s="6" t="s">
        <v>264</v>
      </c>
      <c r="B213" s="7" t="s">
        <v>138</v>
      </c>
      <c r="C213" s="8" t="s">
        <v>27</v>
      </c>
      <c r="D213" s="8" t="s">
        <v>28</v>
      </c>
      <c r="E213" s="9" t="s">
        <v>22</v>
      </c>
      <c r="F213" s="10" t="n">
        <v>177.46</v>
      </c>
      <c r="G213" s="11" t="n">
        <v>180</v>
      </c>
      <c r="H213" s="8" t="s">
        <v>33</v>
      </c>
      <c r="I213" s="8" t="s">
        <v>24</v>
      </c>
      <c r="J213" s="12" t="n">
        <f aca="false">IF(E213="ENTRADA",F213-G213,G213-F213)</f>
        <v>2.53999999999999</v>
      </c>
      <c r="K213" s="13" t="n">
        <f aca="false">IFERROR(IF(G213=0,0,J213/G213),0)</f>
        <v>0.0141111111111111</v>
      </c>
      <c r="L213" s="14" t="n">
        <v>-0.332</v>
      </c>
      <c r="M213" s="15" t="s">
        <v>25</v>
      </c>
      <c r="N213" s="13" t="n">
        <f aca="false">IFERROR(IF(E213="ENTRADA",IF(G213=0,1,MIN(F213/G213,2)),IF(G213=0,1,MAX(1-ABS(J213)/G213,0))),0)</f>
        <v>0.985888888888889</v>
      </c>
      <c r="O213" s="16" t="n">
        <v>214</v>
      </c>
    </row>
    <row r="214" customFormat="false" ht="18.75" hidden="false" customHeight="true" outlineLevel="0" collapsed="false">
      <c r="A214" s="17" t="s">
        <v>265</v>
      </c>
      <c r="B214" s="18" t="s">
        <v>113</v>
      </c>
      <c r="C214" s="19" t="s">
        <v>41</v>
      </c>
      <c r="D214" s="19" t="s">
        <v>79</v>
      </c>
      <c r="E214" s="20" t="s">
        <v>22</v>
      </c>
      <c r="F214" s="21" t="n">
        <v>1630.39</v>
      </c>
      <c r="G214" s="11" t="n">
        <v>2350</v>
      </c>
      <c r="H214" s="19" t="s">
        <v>23</v>
      </c>
      <c r="I214" s="19" t="s">
        <v>34</v>
      </c>
      <c r="J214" s="22" t="n">
        <f aca="false">IF(E214="ENTRADA",F214-G214,G214-F214)</f>
        <v>719.61</v>
      </c>
      <c r="K214" s="23" t="n">
        <f aca="false">IFERROR(IF(G214=0,0,J214/G214),0)</f>
        <v>0.306217021276596</v>
      </c>
      <c r="L214" s="29" t="n">
        <v>3.225</v>
      </c>
      <c r="M214" s="30" t="s">
        <v>200</v>
      </c>
      <c r="N214" s="23" t="n">
        <f aca="false">IFERROR(IF(E214="ENTRADA",IF(G214=0,1,MIN(F214/G214,2)),IF(G214=0,1,MAX(1-ABS(J214)/G214,0))),0)</f>
        <v>0.693782978723404</v>
      </c>
      <c r="O214" s="26" t="n">
        <v>209</v>
      </c>
    </row>
    <row r="215" customFormat="false" ht="18.75" hidden="false" customHeight="true" outlineLevel="0" collapsed="false">
      <c r="A215" s="6" t="s">
        <v>266</v>
      </c>
      <c r="B215" s="7" t="s">
        <v>26</v>
      </c>
      <c r="C215" s="8" t="s">
        <v>27</v>
      </c>
      <c r="D215" s="8" t="s">
        <v>80</v>
      </c>
      <c r="E215" s="9" t="s">
        <v>22</v>
      </c>
      <c r="F215" s="10" t="n">
        <v>153.09</v>
      </c>
      <c r="G215" s="11" t="n">
        <v>180</v>
      </c>
      <c r="H215" s="8" t="s">
        <v>23</v>
      </c>
      <c r="I215" s="8" t="s">
        <v>24</v>
      </c>
      <c r="J215" s="12" t="n">
        <f aca="false">IF(E215="ENTRADA",F215-G215,G215-F215)</f>
        <v>26.91</v>
      </c>
      <c r="K215" s="13" t="n">
        <f aca="false">IFERROR(IF(G215=0,0,J215/G215),0)</f>
        <v>0.1495</v>
      </c>
      <c r="L215" s="14" t="n">
        <v>-0.391</v>
      </c>
      <c r="M215" s="15" t="s">
        <v>25</v>
      </c>
      <c r="N215" s="13" t="n">
        <f aca="false">IFERROR(IF(E215="ENTRADA",IF(G215=0,1,MIN(F215/G215,2)),IF(G215=0,1,MAX(1-ABS(J215)/G215,0))),0)</f>
        <v>0.8505</v>
      </c>
      <c r="O215" s="16" t="n">
        <v>213</v>
      </c>
    </row>
    <row r="216" customFormat="false" ht="18.75" hidden="false" customHeight="true" outlineLevel="0" collapsed="false">
      <c r="A216" s="17" t="s">
        <v>267</v>
      </c>
      <c r="B216" s="18" t="s">
        <v>106</v>
      </c>
      <c r="C216" s="19" t="s">
        <v>20</v>
      </c>
      <c r="D216" s="19" t="s">
        <v>99</v>
      </c>
      <c r="E216" s="20" t="s">
        <v>22</v>
      </c>
      <c r="F216" s="21" t="n">
        <v>143.47</v>
      </c>
      <c r="G216" s="11" t="n">
        <v>116.67</v>
      </c>
      <c r="H216" s="19" t="s">
        <v>23</v>
      </c>
      <c r="I216" s="19" t="s">
        <v>24</v>
      </c>
      <c r="J216" s="22" t="n">
        <f aca="false">IF(E216="ENTRADA",F216-G216,G216-F216)</f>
        <v>-26.8</v>
      </c>
      <c r="K216" s="23" t="n">
        <f aca="false">IFERROR(IF(G216=0,0,J216/G216),0)</f>
        <v>-0.229707722636496</v>
      </c>
      <c r="L216" s="24" t="n">
        <v>-0.415</v>
      </c>
      <c r="M216" s="25" t="s">
        <v>25</v>
      </c>
      <c r="N216" s="23" t="n">
        <f aca="false">IFERROR(IF(E216="ENTRADA",IF(G216=0,1,MIN(F216/G216,2)),IF(G216=0,1,MAX(1-ABS(J216)/G216,0))),0)</f>
        <v>0.770292277363504</v>
      </c>
      <c r="O216" s="26" t="n">
        <v>212</v>
      </c>
    </row>
    <row r="217" customFormat="false" ht="18.75" hidden="false" customHeight="true" outlineLevel="0" collapsed="false">
      <c r="A217" s="6" t="s">
        <v>268</v>
      </c>
      <c r="B217" s="7" t="s">
        <v>88</v>
      </c>
      <c r="C217" s="8" t="s">
        <v>52</v>
      </c>
      <c r="D217" s="8" t="s">
        <v>136</v>
      </c>
      <c r="E217" s="9" t="s">
        <v>22</v>
      </c>
      <c r="F217" s="10" t="n">
        <v>109.18</v>
      </c>
      <c r="G217" s="11" t="n">
        <v>225</v>
      </c>
      <c r="H217" s="8" t="s">
        <v>38</v>
      </c>
      <c r="I217" s="8" t="s">
        <v>24</v>
      </c>
      <c r="J217" s="12" t="n">
        <f aca="false">IF(E217="ENTRADA",F217-G217,G217-F217)</f>
        <v>115.82</v>
      </c>
      <c r="K217" s="13" t="n">
        <f aca="false">IFERROR(IF(G217=0,0,J217/G217),0)</f>
        <v>0.514755555555556</v>
      </c>
      <c r="L217" s="14" t="n">
        <v>-0.499</v>
      </c>
      <c r="M217" s="15" t="s">
        <v>25</v>
      </c>
      <c r="N217" s="13" t="n">
        <f aca="false">IFERROR(IF(E217="ENTRADA",IF(G217=0,1,MIN(F217/G217,2)),IF(G217=0,1,MAX(1-ABS(J217)/G217,0))),0)</f>
        <v>0.485244444444445</v>
      </c>
      <c r="O217" s="16" t="n">
        <v>207</v>
      </c>
    </row>
    <row r="218" customFormat="false" ht="18.75" hidden="false" customHeight="true" outlineLevel="0" collapsed="false">
      <c r="A218" s="17" t="s">
        <v>268</v>
      </c>
      <c r="B218" s="18" t="s">
        <v>134</v>
      </c>
      <c r="C218" s="19" t="s">
        <v>76</v>
      </c>
      <c r="D218" s="19" t="s">
        <v>151</v>
      </c>
      <c r="E218" s="20" t="s">
        <v>22</v>
      </c>
      <c r="F218" s="21" t="n">
        <v>60.51</v>
      </c>
      <c r="G218" s="11" t="n">
        <v>60</v>
      </c>
      <c r="H218" s="19" t="s">
        <v>29</v>
      </c>
      <c r="I218" s="19" t="s">
        <v>34</v>
      </c>
      <c r="J218" s="22" t="n">
        <f aca="false">IF(E218="ENTRADA",F218-G218,G218-F218)</f>
        <v>-0.509999999999998</v>
      </c>
      <c r="K218" s="23" t="n">
        <f aca="false">IFERROR(IF(G218=0,0,J218/G218),0)</f>
        <v>-0.00849999999999997</v>
      </c>
      <c r="L218" s="24" t="n">
        <v>-0.618</v>
      </c>
      <c r="M218" s="25" t="s">
        <v>25</v>
      </c>
      <c r="N218" s="23" t="n">
        <f aca="false">IFERROR(IF(E218="ENTRADA",IF(G218=0,1,MIN(F218/G218,2)),IF(G218=0,1,MAX(1-ABS(J218)/G218,0))),0)</f>
        <v>0.9915</v>
      </c>
      <c r="O218" s="26" t="n">
        <v>224</v>
      </c>
    </row>
    <row r="219" customFormat="false" ht="18.75" hidden="false" customHeight="true" outlineLevel="0" collapsed="false">
      <c r="A219" s="6" t="s">
        <v>268</v>
      </c>
      <c r="B219" s="7" t="s">
        <v>75</v>
      </c>
      <c r="C219" s="8" t="s">
        <v>76</v>
      </c>
      <c r="D219" s="8" t="s">
        <v>175</v>
      </c>
      <c r="E219" s="9" t="s">
        <v>22</v>
      </c>
      <c r="F219" s="10" t="n">
        <v>95.02</v>
      </c>
      <c r="G219" s="11" t="n">
        <v>60</v>
      </c>
      <c r="H219" s="8" t="s">
        <v>23</v>
      </c>
      <c r="I219" s="8" t="s">
        <v>24</v>
      </c>
      <c r="J219" s="12" t="n">
        <f aca="false">IF(E219="ENTRADA",F219-G219,G219-F219)</f>
        <v>-35.02</v>
      </c>
      <c r="K219" s="13" t="n">
        <f aca="false">IFERROR(IF(G219=0,0,J219/G219),0)</f>
        <v>-0.583666666666667</v>
      </c>
      <c r="L219" s="14" t="n">
        <v>-0.534</v>
      </c>
      <c r="M219" s="15" t="s">
        <v>25</v>
      </c>
      <c r="N219" s="13" t="n">
        <f aca="false">IFERROR(IF(E219="ENTRADA",IF(G219=0,1,MIN(F219/G219,2)),IF(G219=0,1,MAX(1-ABS(J219)/G219,0))),0)</f>
        <v>0.416333333333333</v>
      </c>
      <c r="O219" s="16" t="n">
        <v>227</v>
      </c>
    </row>
    <row r="220" customFormat="false" ht="18.75" hidden="false" customHeight="true" outlineLevel="0" collapsed="false">
      <c r="A220" s="17" t="s">
        <v>269</v>
      </c>
      <c r="B220" s="18" t="s">
        <v>67</v>
      </c>
      <c r="C220" s="19" t="s">
        <v>46</v>
      </c>
      <c r="D220" s="19" t="s">
        <v>68</v>
      </c>
      <c r="E220" s="27" t="s">
        <v>48</v>
      </c>
      <c r="F220" s="21" t="n">
        <v>627.94</v>
      </c>
      <c r="G220" s="21" t="n">
        <v>0</v>
      </c>
      <c r="H220" s="19" t="s">
        <v>43</v>
      </c>
      <c r="I220" s="19" t="s">
        <v>24</v>
      </c>
      <c r="J220" s="22" t="n">
        <f aca="false">IF(E220="ENTRADA",F220-G220,G220-F220)</f>
        <v>627.94</v>
      </c>
      <c r="K220" s="23" t="n">
        <f aca="false">IFERROR(IF(G220=0,0,J220/G220),0)</f>
        <v>0</v>
      </c>
      <c r="L220" s="24" t="n">
        <v>0</v>
      </c>
      <c r="M220" s="26" t="s">
        <v>49</v>
      </c>
      <c r="N220" s="23" t="n">
        <f aca="false">IFERROR(IF(E220="ENTRADA",IF(G220=0,1,MIN(F220/G220,2)),IF(G220=0,1,MAX(1-ABS(J220)/G220,0))),0)</f>
        <v>1</v>
      </c>
      <c r="O220" s="26" t="n">
        <v>204</v>
      </c>
    </row>
    <row r="221" customFormat="false" ht="18.75" hidden="false" customHeight="true" outlineLevel="0" collapsed="false">
      <c r="A221" s="6" t="s">
        <v>269</v>
      </c>
      <c r="B221" s="7" t="s">
        <v>51</v>
      </c>
      <c r="C221" s="8" t="s">
        <v>52</v>
      </c>
      <c r="D221" s="8" t="s">
        <v>136</v>
      </c>
      <c r="E221" s="9" t="s">
        <v>22</v>
      </c>
      <c r="F221" s="10" t="n">
        <v>258.73</v>
      </c>
      <c r="G221" s="11" t="n">
        <v>225</v>
      </c>
      <c r="H221" s="8" t="s">
        <v>38</v>
      </c>
      <c r="I221" s="8" t="s">
        <v>34</v>
      </c>
      <c r="J221" s="12" t="n">
        <f aca="false">IF(E221="ENTRADA",F221-G221,G221-F221)</f>
        <v>-33.73</v>
      </c>
      <c r="K221" s="13" t="n">
        <f aca="false">IFERROR(IF(G221=0,0,J221/G221),0)</f>
        <v>-0.149911111111111</v>
      </c>
      <c r="L221" s="14" t="n">
        <v>-0.133</v>
      </c>
      <c r="M221" s="15" t="s">
        <v>25</v>
      </c>
      <c r="N221" s="13" t="n">
        <f aca="false">IFERROR(IF(E221="ENTRADA",IF(G221=0,1,MIN(F221/G221,2)),IF(G221=0,1,MAX(1-ABS(J221)/G221,0))),0)</f>
        <v>0.850088888888889</v>
      </c>
      <c r="O221" s="16" t="n">
        <v>208</v>
      </c>
    </row>
    <row r="222" customFormat="false" ht="18.75" hidden="false" customHeight="true" outlineLevel="0" collapsed="false">
      <c r="A222" s="17" t="s">
        <v>270</v>
      </c>
      <c r="B222" s="18" t="s">
        <v>51</v>
      </c>
      <c r="C222" s="19" t="s">
        <v>52</v>
      </c>
      <c r="D222" s="19" t="s">
        <v>136</v>
      </c>
      <c r="E222" s="20" t="s">
        <v>22</v>
      </c>
      <c r="F222" s="21" t="n">
        <v>274.73</v>
      </c>
      <c r="G222" s="11" t="n">
        <v>225</v>
      </c>
      <c r="H222" s="19" t="s">
        <v>33</v>
      </c>
      <c r="I222" s="19" t="s">
        <v>24</v>
      </c>
      <c r="J222" s="22" t="n">
        <f aca="false">IF(E222="ENTRADA",F222-G222,G222-F222)</f>
        <v>-49.73</v>
      </c>
      <c r="K222" s="23" t="n">
        <f aca="false">IFERROR(IF(G222=0,0,J222/G222),0)</f>
        <v>-0.221022222222222</v>
      </c>
      <c r="L222" s="24" t="n">
        <v>-0.094</v>
      </c>
      <c r="M222" s="25" t="s">
        <v>25</v>
      </c>
      <c r="N222" s="23" t="n">
        <f aca="false">IFERROR(IF(E222="ENTRADA",IF(G222=0,1,MIN(F222/G222,2)),IF(G222=0,1,MAX(1-ABS(J222)/G222,0))),0)</f>
        <v>0.778977777777778</v>
      </c>
      <c r="O222" s="26" t="n">
        <v>206</v>
      </c>
    </row>
    <row r="223" customFormat="false" ht="18.75" hidden="false" customHeight="true" outlineLevel="0" collapsed="false">
      <c r="A223" s="6" t="s">
        <v>270</v>
      </c>
      <c r="B223" s="7" t="s">
        <v>92</v>
      </c>
      <c r="C223" s="8" t="s">
        <v>85</v>
      </c>
      <c r="D223" s="8" t="s">
        <v>93</v>
      </c>
      <c r="E223" s="9" t="s">
        <v>22</v>
      </c>
      <c r="F223" s="10" t="n">
        <v>475.89</v>
      </c>
      <c r="G223" s="11" t="n">
        <v>625</v>
      </c>
      <c r="H223" s="8" t="s">
        <v>43</v>
      </c>
      <c r="I223" s="8" t="s">
        <v>34</v>
      </c>
      <c r="J223" s="12" t="n">
        <f aca="false">IF(E223="ENTRADA",F223-G223,G223-F223)</f>
        <v>149.11</v>
      </c>
      <c r="K223" s="13" t="n">
        <f aca="false">IFERROR(IF(G223=0,0,J223/G223),0)</f>
        <v>0.238576</v>
      </c>
      <c r="L223" s="14" t="n">
        <v>0.399</v>
      </c>
      <c r="M223" s="15" t="s">
        <v>25</v>
      </c>
      <c r="N223" s="13" t="n">
        <f aca="false">IFERROR(IF(E223="ENTRADA",IF(G223=0,1,MIN(F223/G223,2)),IF(G223=0,1,MAX(1-ABS(J223)/G223,0))),0)</f>
        <v>0.761424</v>
      </c>
      <c r="O223" s="16" t="n">
        <v>222</v>
      </c>
    </row>
    <row r="224" customFormat="false" ht="18.75" hidden="false" customHeight="true" outlineLevel="0" collapsed="false">
      <c r="A224" s="17" t="s">
        <v>271</v>
      </c>
      <c r="B224" s="18" t="s">
        <v>138</v>
      </c>
      <c r="C224" s="19" t="s">
        <v>27</v>
      </c>
      <c r="D224" s="19" t="s">
        <v>123</v>
      </c>
      <c r="E224" s="20" t="s">
        <v>22</v>
      </c>
      <c r="F224" s="21" t="n">
        <v>218.49</v>
      </c>
      <c r="G224" s="11" t="n">
        <v>180</v>
      </c>
      <c r="H224" s="19" t="s">
        <v>38</v>
      </c>
      <c r="I224" s="19" t="s">
        <v>24</v>
      </c>
      <c r="J224" s="22" t="n">
        <f aca="false">IF(E224="ENTRADA",F224-G224,G224-F224)</f>
        <v>-38.49</v>
      </c>
      <c r="K224" s="23" t="n">
        <f aca="false">IFERROR(IF(G224=0,0,J224/G224),0)</f>
        <v>-0.213833333333333</v>
      </c>
      <c r="L224" s="24" t="n">
        <v>-0.231</v>
      </c>
      <c r="M224" s="25" t="s">
        <v>25</v>
      </c>
      <c r="N224" s="23" t="n">
        <f aca="false">IFERROR(IF(E224="ENTRADA",IF(G224=0,1,MIN(F224/G224,2)),IF(G224=0,1,MAX(1-ABS(J224)/G224,0))),0)</f>
        <v>0.786166666666667</v>
      </c>
      <c r="O224" s="26" t="n">
        <v>215</v>
      </c>
    </row>
    <row r="225" customFormat="false" ht="18.75" hidden="false" customHeight="true" outlineLevel="0" collapsed="false">
      <c r="A225" s="6" t="s">
        <v>271</v>
      </c>
      <c r="B225" s="7" t="s">
        <v>92</v>
      </c>
      <c r="C225" s="8" t="s">
        <v>85</v>
      </c>
      <c r="D225" s="8" t="s">
        <v>86</v>
      </c>
      <c r="E225" s="9" t="s">
        <v>22</v>
      </c>
      <c r="F225" s="10" t="n">
        <v>542</v>
      </c>
      <c r="G225" s="11" t="n">
        <v>625</v>
      </c>
      <c r="H225" s="8" t="s">
        <v>33</v>
      </c>
      <c r="I225" s="8" t="s">
        <v>34</v>
      </c>
      <c r="J225" s="12" t="n">
        <f aca="false">IF(E225="ENTRADA",F225-G225,G225-F225)</f>
        <v>83</v>
      </c>
      <c r="K225" s="13" t="n">
        <f aca="false">IFERROR(IF(G225=0,0,J225/G225),0)</f>
        <v>0.1328</v>
      </c>
      <c r="L225" s="14" t="n">
        <v>0.561</v>
      </c>
      <c r="M225" s="15" t="s">
        <v>25</v>
      </c>
      <c r="N225" s="13" t="n">
        <f aca="false">IFERROR(IF(E225="ENTRADA",IF(G225=0,1,MIN(F225/G225,2)),IF(G225=0,1,MAX(1-ABS(J225)/G225,0))),0)</f>
        <v>0.8672</v>
      </c>
      <c r="O225" s="16" t="n">
        <v>220</v>
      </c>
    </row>
    <row r="226" customFormat="false" ht="18.75" hidden="false" customHeight="true" outlineLevel="0" collapsed="false">
      <c r="A226" s="17" t="s">
        <v>271</v>
      </c>
      <c r="B226" s="18" t="s">
        <v>214</v>
      </c>
      <c r="C226" s="19" t="s">
        <v>76</v>
      </c>
      <c r="D226" s="19" t="s">
        <v>151</v>
      </c>
      <c r="E226" s="20" t="s">
        <v>22</v>
      </c>
      <c r="F226" s="21" t="n">
        <v>97.01</v>
      </c>
      <c r="G226" s="11" t="n">
        <v>60</v>
      </c>
      <c r="H226" s="19" t="s">
        <v>43</v>
      </c>
      <c r="I226" s="19" t="s">
        <v>24</v>
      </c>
      <c r="J226" s="22" t="n">
        <f aca="false">IF(E226="ENTRADA",F226-G226,G226-F226)</f>
        <v>-37.01</v>
      </c>
      <c r="K226" s="23" t="n">
        <f aca="false">IFERROR(IF(G226=0,0,J226/G226),0)</f>
        <v>-0.616833333333334</v>
      </c>
      <c r="L226" s="24" t="n">
        <v>-0.529</v>
      </c>
      <c r="M226" s="25" t="s">
        <v>25</v>
      </c>
      <c r="N226" s="23" t="n">
        <f aca="false">IFERROR(IF(E226="ENTRADA",IF(G226=0,1,MIN(F226/G226,2)),IF(G226=0,1,MAX(1-ABS(J226)/G226,0))),0)</f>
        <v>0.383166666666667</v>
      </c>
      <c r="O226" s="26" t="n">
        <v>225</v>
      </c>
    </row>
    <row r="227" customFormat="false" ht="18.75" hidden="false" customHeight="true" outlineLevel="0" collapsed="false">
      <c r="A227" s="6" t="s">
        <v>272</v>
      </c>
      <c r="B227" s="7" t="s">
        <v>70</v>
      </c>
      <c r="C227" s="8" t="s">
        <v>36</v>
      </c>
      <c r="D227" s="8" t="s">
        <v>62</v>
      </c>
      <c r="E227" s="9" t="s">
        <v>22</v>
      </c>
      <c r="F227" s="10" t="n">
        <v>401.06</v>
      </c>
      <c r="G227" s="11" t="n">
        <v>400</v>
      </c>
      <c r="H227" s="8" t="s">
        <v>38</v>
      </c>
      <c r="I227" s="8" t="s">
        <v>34</v>
      </c>
      <c r="J227" s="12" t="n">
        <f aca="false">IF(E227="ENTRADA",F227-G227,G227-F227)</f>
        <v>-1.06</v>
      </c>
      <c r="K227" s="13" t="n">
        <f aca="false">IFERROR(IF(G227=0,0,J227/G227),0)</f>
        <v>-0.00265000000000001</v>
      </c>
      <c r="L227" s="14" t="n">
        <v>0.216</v>
      </c>
      <c r="M227" s="15" t="s">
        <v>25</v>
      </c>
      <c r="N227" s="13" t="n">
        <f aca="false">IFERROR(IF(E227="ENTRADA",IF(G227=0,1,MIN(F227/G227,2)),IF(G227=0,1,MAX(1-ABS(J227)/G227,0))),0)</f>
        <v>0.99735</v>
      </c>
      <c r="O227" s="16" t="n">
        <v>218</v>
      </c>
    </row>
    <row r="228" customFormat="false" ht="18.75" hidden="false" customHeight="true" outlineLevel="0" collapsed="false">
      <c r="A228" s="17" t="s">
        <v>273</v>
      </c>
      <c r="B228" s="18" t="s">
        <v>101</v>
      </c>
      <c r="C228" s="19" t="s">
        <v>85</v>
      </c>
      <c r="D228" s="19" t="s">
        <v>102</v>
      </c>
      <c r="E228" s="20" t="s">
        <v>22</v>
      </c>
      <c r="F228" s="21" t="n">
        <v>470.1</v>
      </c>
      <c r="G228" s="11" t="n">
        <v>625</v>
      </c>
      <c r="H228" s="19" t="s">
        <v>23</v>
      </c>
      <c r="I228" s="19" t="s">
        <v>34</v>
      </c>
      <c r="J228" s="22" t="n">
        <f aca="false">IF(E228="ENTRADA",F228-G228,G228-F228)</f>
        <v>154.9</v>
      </c>
      <c r="K228" s="23" t="n">
        <f aca="false">IFERROR(IF(G228=0,0,J228/G228),0)</f>
        <v>0.24784</v>
      </c>
      <c r="L228" s="24" t="n">
        <v>0.385</v>
      </c>
      <c r="M228" s="25" t="s">
        <v>25</v>
      </c>
      <c r="N228" s="23" t="n">
        <f aca="false">IFERROR(IF(E228="ENTRADA",IF(G228=0,1,MIN(F228/G228,2)),IF(G228=0,1,MAX(1-ABS(J228)/G228,0))),0)</f>
        <v>0.75216</v>
      </c>
      <c r="O228" s="26" t="n">
        <v>219</v>
      </c>
    </row>
    <row r="229" customFormat="false" ht="18.75" hidden="false" customHeight="true" outlineLevel="0" collapsed="false">
      <c r="A229" s="6" t="s">
        <v>273</v>
      </c>
      <c r="B229" s="7" t="s">
        <v>134</v>
      </c>
      <c r="C229" s="8" t="s">
        <v>76</v>
      </c>
      <c r="D229" s="8" t="s">
        <v>125</v>
      </c>
      <c r="E229" s="9" t="s">
        <v>22</v>
      </c>
      <c r="F229" s="10" t="n">
        <v>83.43</v>
      </c>
      <c r="G229" s="11" t="n">
        <v>60</v>
      </c>
      <c r="H229" s="8" t="s">
        <v>33</v>
      </c>
      <c r="I229" s="8" t="s">
        <v>24</v>
      </c>
      <c r="J229" s="12" t="n">
        <f aca="false">IF(E229="ENTRADA",F229-G229,G229-F229)</f>
        <v>-23.43</v>
      </c>
      <c r="K229" s="13" t="n">
        <f aca="false">IFERROR(IF(G229=0,0,J229/G229),0)</f>
        <v>-0.3905</v>
      </c>
      <c r="L229" s="14" t="n">
        <v>-0.562</v>
      </c>
      <c r="M229" s="15" t="s">
        <v>25</v>
      </c>
      <c r="N229" s="13" t="n">
        <f aca="false">IFERROR(IF(E229="ENTRADA",IF(G229=0,1,MIN(F229/G229,2)),IF(G229=0,1,MAX(1-ABS(J229)/G229,0))),0)</f>
        <v>0.6095</v>
      </c>
      <c r="O229" s="16" t="n">
        <v>226</v>
      </c>
    </row>
    <row r="230" customFormat="false" ht="18.75" hidden="false" customHeight="true" outlineLevel="0" collapsed="false">
      <c r="A230" s="17" t="s">
        <v>274</v>
      </c>
      <c r="B230" s="18" t="s">
        <v>166</v>
      </c>
      <c r="C230" s="19" t="s">
        <v>20</v>
      </c>
      <c r="D230" s="19" t="s">
        <v>21</v>
      </c>
      <c r="E230" s="20" t="s">
        <v>22</v>
      </c>
      <c r="F230" s="21" t="n">
        <v>148.92</v>
      </c>
      <c r="G230" s="11" t="n">
        <v>116.67</v>
      </c>
      <c r="H230" s="19" t="s">
        <v>33</v>
      </c>
      <c r="I230" s="19" t="s">
        <v>24</v>
      </c>
      <c r="J230" s="22" t="n">
        <f aca="false">IF(E230="ENTRADA",F230-G230,G230-F230)</f>
        <v>-32.25</v>
      </c>
      <c r="K230" s="23" t="n">
        <f aca="false">IFERROR(IF(G230=0,0,J230/G230),0)</f>
        <v>-0.276420673695037</v>
      </c>
      <c r="L230" s="24" t="n">
        <v>-0.402</v>
      </c>
      <c r="M230" s="25" t="s">
        <v>25</v>
      </c>
      <c r="N230" s="23" t="n">
        <f aca="false">IFERROR(IF(E230="ENTRADA",IF(G230=0,1,MIN(F230/G230,2)),IF(G230=0,1,MAX(1-ABS(J230)/G230,0))),0)</f>
        <v>0.723579326304963</v>
      </c>
      <c r="O230" s="26" t="n">
        <v>210</v>
      </c>
    </row>
    <row r="231" customFormat="false" ht="18.75" hidden="false" customHeight="true" outlineLevel="0" collapsed="false">
      <c r="A231" s="6" t="s">
        <v>275</v>
      </c>
      <c r="B231" s="7" t="s">
        <v>155</v>
      </c>
      <c r="C231" s="8" t="s">
        <v>20</v>
      </c>
      <c r="D231" s="8" t="s">
        <v>129</v>
      </c>
      <c r="E231" s="9" t="s">
        <v>22</v>
      </c>
      <c r="F231" s="10" t="n">
        <v>115.23</v>
      </c>
      <c r="G231" s="11" t="n">
        <v>116.67</v>
      </c>
      <c r="H231" s="8" t="s">
        <v>23</v>
      </c>
      <c r="I231" s="8" t="s">
        <v>24</v>
      </c>
      <c r="J231" s="12" t="n">
        <f aca="false">IF(E231="ENTRADA",F231-G231,G231-F231)</f>
        <v>1.44</v>
      </c>
      <c r="K231" s="13" t="n">
        <f aca="false">IFERROR(IF(G231=0,0,J231/G231),0)</f>
        <v>0.0123425044998714</v>
      </c>
      <c r="L231" s="14" t="n">
        <v>-0.484</v>
      </c>
      <c r="M231" s="15" t="s">
        <v>25</v>
      </c>
      <c r="N231" s="13" t="n">
        <f aca="false">IFERROR(IF(E231="ENTRADA",IF(G231=0,1,MIN(F231/G231,2)),IF(G231=0,1,MAX(1-ABS(J231)/G231,0))),0)</f>
        <v>0.987657495500129</v>
      </c>
      <c r="O231" s="16" t="n">
        <v>211</v>
      </c>
    </row>
    <row r="232" customFormat="false" ht="18.75" hidden="false" customHeight="true" outlineLevel="0" collapsed="false">
      <c r="A232" s="17" t="s">
        <v>275</v>
      </c>
      <c r="B232" s="18" t="s">
        <v>144</v>
      </c>
      <c r="C232" s="19" t="s">
        <v>31</v>
      </c>
      <c r="D232" s="19" t="s">
        <v>229</v>
      </c>
      <c r="E232" s="20" t="s">
        <v>22</v>
      </c>
      <c r="F232" s="21" t="n">
        <v>216.84</v>
      </c>
      <c r="G232" s="11" t="n">
        <v>280</v>
      </c>
      <c r="H232" s="19" t="s">
        <v>23</v>
      </c>
      <c r="I232" s="19" t="s">
        <v>24</v>
      </c>
      <c r="J232" s="22" t="n">
        <f aca="false">IF(E232="ENTRADA",F232-G232,G232-F232)</f>
        <v>63.16</v>
      </c>
      <c r="K232" s="23" t="n">
        <f aca="false">IFERROR(IF(G232=0,0,J232/G232),0)</f>
        <v>0.225571428571429</v>
      </c>
      <c r="L232" s="24" t="n">
        <v>-0.235</v>
      </c>
      <c r="M232" s="25" t="s">
        <v>25</v>
      </c>
      <c r="N232" s="23" t="n">
        <f aca="false">IFERROR(IF(E232="ENTRADA",IF(G232=0,1,MIN(F232/G232,2)),IF(G232=0,1,MAX(1-ABS(J232)/G232,0))),0)</f>
        <v>0.774428571428572</v>
      </c>
      <c r="O232" s="26" t="n">
        <v>217</v>
      </c>
    </row>
    <row r="233" customFormat="false" ht="18.75" hidden="false" customHeight="true" outlineLevel="0" collapsed="false">
      <c r="A233" s="6" t="s">
        <v>275</v>
      </c>
      <c r="B233" s="7" t="s">
        <v>180</v>
      </c>
      <c r="C233" s="8" t="s">
        <v>85</v>
      </c>
      <c r="D233" s="8" t="s">
        <v>91</v>
      </c>
      <c r="E233" s="9" t="s">
        <v>22</v>
      </c>
      <c r="F233" s="10" t="n">
        <v>492.6</v>
      </c>
      <c r="G233" s="11" t="n">
        <v>625</v>
      </c>
      <c r="H233" s="8" t="s">
        <v>33</v>
      </c>
      <c r="I233" s="8" t="s">
        <v>34</v>
      </c>
      <c r="J233" s="12" t="n">
        <f aca="false">IF(E233="ENTRADA",F233-G233,G233-F233)</f>
        <v>132.4</v>
      </c>
      <c r="K233" s="13" t="n">
        <f aca="false">IFERROR(IF(G233=0,0,J233/G233),0)</f>
        <v>0.21184</v>
      </c>
      <c r="L233" s="14" t="n">
        <v>0.44</v>
      </c>
      <c r="M233" s="15" t="s">
        <v>25</v>
      </c>
      <c r="N233" s="13" t="n">
        <f aca="false">IFERROR(IF(E233="ENTRADA",IF(G233=0,1,MIN(F233/G233,2)),IF(G233=0,1,MAX(1-ABS(J233)/G233,0))),0)</f>
        <v>0.78816</v>
      </c>
      <c r="O233" s="16" t="n">
        <v>221</v>
      </c>
    </row>
    <row r="234" customFormat="false" ht="18.75" hidden="false" customHeight="true" outlineLevel="0" collapsed="false">
      <c r="A234" s="17" t="s">
        <v>276</v>
      </c>
      <c r="B234" s="18" t="s">
        <v>98</v>
      </c>
      <c r="C234" s="19" t="s">
        <v>20</v>
      </c>
      <c r="D234" s="19" t="s">
        <v>21</v>
      </c>
      <c r="E234" s="20" t="s">
        <v>22</v>
      </c>
      <c r="F234" s="21" t="n">
        <v>133.88</v>
      </c>
      <c r="G234" s="11" t="n">
        <v>87.5</v>
      </c>
      <c r="H234" s="19" t="s">
        <v>43</v>
      </c>
      <c r="I234" s="19" t="s">
        <v>34</v>
      </c>
      <c r="J234" s="22" t="n">
        <f aca="false">IF(E234="ENTRADA",F234-G234,G234-F234)</f>
        <v>-46.38</v>
      </c>
      <c r="K234" s="23" t="n">
        <f aca="false">IFERROR(IF(G234=0,0,J234/G234),0)</f>
        <v>-0.530057142857143</v>
      </c>
      <c r="L234" s="24" t="n">
        <v>-0.438</v>
      </c>
      <c r="M234" s="25" t="s">
        <v>25</v>
      </c>
      <c r="N234" s="23" t="n">
        <f aca="false">IFERROR(IF(E234="ENTRADA",IF(G234=0,1,MIN(F234/G234,2)),IF(G234=0,1,MAX(1-ABS(J234)/G234,0))),0)</f>
        <v>0.469942857142857</v>
      </c>
      <c r="O234" s="26" t="n">
        <v>238</v>
      </c>
    </row>
    <row r="235" customFormat="false" ht="18.75" hidden="false" customHeight="true" outlineLevel="0" collapsed="false">
      <c r="A235" s="6" t="s">
        <v>277</v>
      </c>
      <c r="B235" s="7" t="s">
        <v>108</v>
      </c>
      <c r="C235" s="8" t="s">
        <v>27</v>
      </c>
      <c r="D235" s="8" t="s">
        <v>146</v>
      </c>
      <c r="E235" s="9" t="s">
        <v>22</v>
      </c>
      <c r="F235" s="10" t="n">
        <v>140.03</v>
      </c>
      <c r="G235" s="11" t="n">
        <v>144</v>
      </c>
      <c r="H235" s="8" t="s">
        <v>38</v>
      </c>
      <c r="I235" s="8" t="s">
        <v>34</v>
      </c>
      <c r="J235" s="12" t="n">
        <f aca="false">IF(E235="ENTRADA",F235-G235,G235-F235)</f>
        <v>3.97</v>
      </c>
      <c r="K235" s="13" t="n">
        <f aca="false">IFERROR(IF(G235=0,0,J235/G235),0)</f>
        <v>0.0275694444444444</v>
      </c>
      <c r="L235" s="14" t="n">
        <v>-0.423</v>
      </c>
      <c r="M235" s="15" t="s">
        <v>25</v>
      </c>
      <c r="N235" s="13" t="n">
        <f aca="false">IFERROR(IF(E235="ENTRADA",IF(G235=0,1,MIN(F235/G235,2)),IF(G235=0,1,MAX(1-ABS(J235)/G235,0))),0)</f>
        <v>0.972430555555556</v>
      </c>
      <c r="O235" s="16" t="n">
        <v>242</v>
      </c>
    </row>
    <row r="236" customFormat="false" ht="18.75" hidden="false" customHeight="true" outlineLevel="0" collapsed="false">
      <c r="A236" s="17" t="s">
        <v>277</v>
      </c>
      <c r="B236" s="18" t="s">
        <v>134</v>
      </c>
      <c r="C236" s="19" t="s">
        <v>76</v>
      </c>
      <c r="D236" s="19" t="s">
        <v>125</v>
      </c>
      <c r="E236" s="20" t="s">
        <v>22</v>
      </c>
      <c r="F236" s="21" t="n">
        <v>34.33</v>
      </c>
      <c r="G236" s="11" t="n">
        <v>75</v>
      </c>
      <c r="H236" s="19" t="s">
        <v>29</v>
      </c>
      <c r="I236" s="19" t="s">
        <v>34</v>
      </c>
      <c r="J236" s="22" t="n">
        <f aca="false">IF(E236="ENTRADA",F236-G236,G236-F236)</f>
        <v>40.67</v>
      </c>
      <c r="K236" s="23" t="n">
        <f aca="false">IFERROR(IF(G236=0,0,J236/G236),0)</f>
        <v>0.542266666666667</v>
      </c>
      <c r="L236" s="24" t="n">
        <v>-0.682</v>
      </c>
      <c r="M236" s="25" t="s">
        <v>25</v>
      </c>
      <c r="N236" s="23" t="n">
        <f aca="false">IFERROR(IF(E236="ENTRADA",IF(G236=0,1,MIN(F236/G236,2)),IF(G236=0,1,MAX(1-ABS(J236)/G236,0))),0)</f>
        <v>0.457733333333333</v>
      </c>
      <c r="O236" s="26" t="n">
        <v>254</v>
      </c>
    </row>
    <row r="237" customFormat="false" ht="18.75" hidden="false" customHeight="true" outlineLevel="0" collapsed="false">
      <c r="A237" s="6" t="s">
        <v>278</v>
      </c>
      <c r="B237" s="7" t="s">
        <v>73</v>
      </c>
      <c r="C237" s="8" t="s">
        <v>36</v>
      </c>
      <c r="D237" s="8" t="s">
        <v>37</v>
      </c>
      <c r="E237" s="9" t="s">
        <v>22</v>
      </c>
      <c r="F237" s="10" t="n">
        <v>63.77</v>
      </c>
      <c r="G237" s="11" t="n">
        <v>133.33</v>
      </c>
      <c r="H237" s="8" t="s">
        <v>33</v>
      </c>
      <c r="I237" s="8" t="s">
        <v>34</v>
      </c>
      <c r="J237" s="12" t="n">
        <f aca="false">IF(E237="ENTRADA",F237-G237,G237-F237)</f>
        <v>69.56</v>
      </c>
      <c r="K237" s="13" t="n">
        <f aca="false">IFERROR(IF(G237=0,0,J237/G237),0)</f>
        <v>0.521713042826071</v>
      </c>
      <c r="L237" s="14" t="n">
        <v>-0.61</v>
      </c>
      <c r="M237" s="15" t="s">
        <v>25</v>
      </c>
      <c r="N237" s="13" t="n">
        <f aca="false">IFERROR(IF(E237="ENTRADA",IF(G237=0,1,MIN(F237/G237,2)),IF(G237=0,1,MAX(1-ABS(J237)/G237,0))),0)</f>
        <v>0.478286957173929</v>
      </c>
      <c r="O237" s="16" t="n">
        <v>248</v>
      </c>
    </row>
    <row r="238" customFormat="false" ht="18.75" hidden="false" customHeight="true" outlineLevel="0" collapsed="false">
      <c r="A238" s="17" t="s">
        <v>279</v>
      </c>
      <c r="B238" s="18" t="s">
        <v>75</v>
      </c>
      <c r="C238" s="19" t="s">
        <v>76</v>
      </c>
      <c r="D238" s="19" t="s">
        <v>82</v>
      </c>
      <c r="E238" s="20" t="s">
        <v>22</v>
      </c>
      <c r="F238" s="21" t="n">
        <v>55.69</v>
      </c>
      <c r="G238" s="11" t="n">
        <v>75</v>
      </c>
      <c r="H238" s="19" t="s">
        <v>38</v>
      </c>
      <c r="I238" s="19" t="s">
        <v>24</v>
      </c>
      <c r="J238" s="22" t="n">
        <f aca="false">IF(E238="ENTRADA",F238-G238,G238-F238)</f>
        <v>19.31</v>
      </c>
      <c r="K238" s="23" t="n">
        <f aca="false">IFERROR(IF(G238=0,0,J238/G238),0)</f>
        <v>0.257466666666667</v>
      </c>
      <c r="L238" s="24" t="n">
        <v>-0.63</v>
      </c>
      <c r="M238" s="25" t="s">
        <v>25</v>
      </c>
      <c r="N238" s="23" t="n">
        <f aca="false">IFERROR(IF(E238="ENTRADA",IF(G238=0,1,MIN(F238/G238,2)),IF(G238=0,1,MAX(1-ABS(J238)/G238,0))),0)</f>
        <v>0.742533333333333</v>
      </c>
      <c r="O238" s="26" t="n">
        <v>255</v>
      </c>
    </row>
    <row r="239" customFormat="false" ht="18.75" hidden="false" customHeight="true" outlineLevel="0" collapsed="false">
      <c r="A239" s="6" t="s">
        <v>280</v>
      </c>
      <c r="B239" s="7" t="s">
        <v>281</v>
      </c>
      <c r="C239" s="8" t="s">
        <v>46</v>
      </c>
      <c r="D239" s="8" t="s">
        <v>47</v>
      </c>
      <c r="E239" s="28" t="s">
        <v>48</v>
      </c>
      <c r="F239" s="10" t="n">
        <v>8688.89</v>
      </c>
      <c r="G239" s="11" t="n">
        <v>8500</v>
      </c>
      <c r="H239" s="8" t="s">
        <v>29</v>
      </c>
      <c r="I239" s="8" t="s">
        <v>34</v>
      </c>
      <c r="J239" s="12" t="n">
        <f aca="false">IF(E239="ENTRADA",F239-G239,G239-F239)</f>
        <v>188.889999999999</v>
      </c>
      <c r="K239" s="13" t="n">
        <f aca="false">IFERROR(IF(G239=0,0,J239/G239),0)</f>
        <v>0.0222223529411764</v>
      </c>
      <c r="L239" s="14" t="n">
        <v>0</v>
      </c>
      <c r="M239" s="16" t="s">
        <v>49</v>
      </c>
      <c r="N239" s="13" t="n">
        <f aca="false">IFERROR(IF(E239="ENTRADA",IF(G239=0,1,MIN(F239/G239,2)),IF(G239=0,1,MAX(1-ABS(J239)/G239,0))),0)</f>
        <v>1.02222235294118</v>
      </c>
      <c r="O239" s="16" t="n">
        <v>228</v>
      </c>
    </row>
    <row r="240" customFormat="false" ht="18.75" hidden="false" customHeight="true" outlineLevel="0" collapsed="false">
      <c r="A240" s="17" t="s">
        <v>282</v>
      </c>
      <c r="B240" s="18" t="s">
        <v>127</v>
      </c>
      <c r="C240" s="19" t="s">
        <v>52</v>
      </c>
      <c r="D240" s="19" t="s">
        <v>53</v>
      </c>
      <c r="E240" s="20" t="s">
        <v>22</v>
      </c>
      <c r="F240" s="21" t="n">
        <v>460.77</v>
      </c>
      <c r="G240" s="11" t="n">
        <v>450</v>
      </c>
      <c r="H240" s="19" t="s">
        <v>29</v>
      </c>
      <c r="I240" s="19" t="s">
        <v>34</v>
      </c>
      <c r="J240" s="22" t="n">
        <f aca="false">IF(E240="ENTRADA",F240-G240,G240-F240)</f>
        <v>-10.77</v>
      </c>
      <c r="K240" s="23" t="n">
        <f aca="false">IFERROR(IF(G240=0,0,J240/G240),0)</f>
        <v>-0.0239333333333333</v>
      </c>
      <c r="L240" s="24" t="n">
        <v>0.362</v>
      </c>
      <c r="M240" s="25" t="s">
        <v>25</v>
      </c>
      <c r="N240" s="23" t="n">
        <f aca="false">IFERROR(IF(E240="ENTRADA",IF(G240=0,1,MIN(F240/G240,2)),IF(G240=0,1,MAX(1-ABS(J240)/G240,0))),0)</f>
        <v>0.976066666666667</v>
      </c>
      <c r="O240" s="26" t="n">
        <v>230</v>
      </c>
    </row>
    <row r="241" customFormat="false" ht="18.75" hidden="false" customHeight="true" outlineLevel="0" collapsed="false">
      <c r="A241" s="6" t="s">
        <v>283</v>
      </c>
      <c r="B241" s="7" t="s">
        <v>26</v>
      </c>
      <c r="C241" s="8" t="s">
        <v>27</v>
      </c>
      <c r="D241" s="8" t="s">
        <v>109</v>
      </c>
      <c r="E241" s="9" t="s">
        <v>22</v>
      </c>
      <c r="F241" s="10" t="n">
        <v>155.38</v>
      </c>
      <c r="G241" s="11" t="n">
        <v>144</v>
      </c>
      <c r="H241" s="8" t="s">
        <v>33</v>
      </c>
      <c r="I241" s="8" t="s">
        <v>34</v>
      </c>
      <c r="J241" s="12" t="n">
        <f aca="false">IF(E241="ENTRADA",F241-G241,G241-F241)</f>
        <v>-11.38</v>
      </c>
      <c r="K241" s="13" t="n">
        <f aca="false">IFERROR(IF(G241=0,0,J241/G241),0)</f>
        <v>-0.0790277777777778</v>
      </c>
      <c r="L241" s="14" t="n">
        <v>-0.386</v>
      </c>
      <c r="M241" s="15" t="s">
        <v>25</v>
      </c>
      <c r="N241" s="13" t="n">
        <f aca="false">IFERROR(IF(E241="ENTRADA",IF(G241=0,1,MIN(F241/G241,2)),IF(G241=0,1,MAX(1-ABS(J241)/G241,0))),0)</f>
        <v>0.920972222222222</v>
      </c>
      <c r="O241" s="16" t="n">
        <v>240</v>
      </c>
    </row>
    <row r="242" customFormat="false" ht="18.75" hidden="false" customHeight="true" outlineLevel="0" collapsed="false">
      <c r="A242" s="17" t="s">
        <v>284</v>
      </c>
      <c r="B242" s="18" t="s">
        <v>54</v>
      </c>
      <c r="C242" s="19" t="s">
        <v>41</v>
      </c>
      <c r="D242" s="19" t="s">
        <v>65</v>
      </c>
      <c r="E242" s="20" t="s">
        <v>22</v>
      </c>
      <c r="F242" s="21" t="n">
        <v>1064.37</v>
      </c>
      <c r="G242" s="11" t="n">
        <v>783.33</v>
      </c>
      <c r="H242" s="19" t="s">
        <v>43</v>
      </c>
      <c r="I242" s="19" t="s">
        <v>34</v>
      </c>
      <c r="J242" s="22" t="n">
        <f aca="false">IF(E242="ENTRADA",F242-G242,G242-F242)</f>
        <v>-281.04</v>
      </c>
      <c r="K242" s="23" t="n">
        <f aca="false">IFERROR(IF(G242=0,0,J242/G242),0)</f>
        <v>-0.358775994791467</v>
      </c>
      <c r="L242" s="24" t="n">
        <v>1.84</v>
      </c>
      <c r="M242" s="25" t="s">
        <v>25</v>
      </c>
      <c r="N242" s="23" t="n">
        <f aca="false">IFERROR(IF(E242="ENTRADA",IF(G242=0,1,MIN(F242/G242,2)),IF(G242=0,1,MAX(1-ABS(J242)/G242,0))),0)</f>
        <v>0.641224005208533</v>
      </c>
      <c r="O242" s="26" t="n">
        <v>233</v>
      </c>
    </row>
    <row r="243" customFormat="false" ht="18.75" hidden="false" customHeight="true" outlineLevel="0" collapsed="false">
      <c r="A243" s="6" t="s">
        <v>284</v>
      </c>
      <c r="B243" s="7" t="s">
        <v>56</v>
      </c>
      <c r="C243" s="8" t="s">
        <v>27</v>
      </c>
      <c r="D243" s="8" t="s">
        <v>123</v>
      </c>
      <c r="E243" s="9" t="s">
        <v>22</v>
      </c>
      <c r="F243" s="10" t="n">
        <v>169.42</v>
      </c>
      <c r="G243" s="11" t="n">
        <v>144</v>
      </c>
      <c r="H243" s="8" t="s">
        <v>38</v>
      </c>
      <c r="I243" s="8" t="s">
        <v>34</v>
      </c>
      <c r="J243" s="12" t="n">
        <f aca="false">IF(E243="ENTRADA",F243-G243,G243-F243)</f>
        <v>-25.42</v>
      </c>
      <c r="K243" s="13" t="n">
        <f aca="false">IFERROR(IF(G243=0,0,J243/G243),0)</f>
        <v>-0.176527777777778</v>
      </c>
      <c r="L243" s="14" t="n">
        <v>-0.351</v>
      </c>
      <c r="M243" s="15" t="s">
        <v>25</v>
      </c>
      <c r="N243" s="13" t="n">
        <f aca="false">IFERROR(IF(E243="ENTRADA",IF(G243=0,1,MIN(F243/G243,2)),IF(G243=0,1,MAX(1-ABS(J243)/G243,0))),0)</f>
        <v>0.823472222222222</v>
      </c>
      <c r="O243" s="16" t="n">
        <v>243</v>
      </c>
    </row>
    <row r="244" customFormat="false" ht="18.75" hidden="false" customHeight="true" outlineLevel="0" collapsed="false">
      <c r="A244" s="17" t="s">
        <v>285</v>
      </c>
      <c r="B244" s="18" t="s">
        <v>180</v>
      </c>
      <c r="C244" s="19" t="s">
        <v>85</v>
      </c>
      <c r="D244" s="19" t="s">
        <v>170</v>
      </c>
      <c r="E244" s="20" t="s">
        <v>22</v>
      </c>
      <c r="F244" s="21" t="n">
        <v>663.36</v>
      </c>
      <c r="G244" s="11" t="n">
        <v>625</v>
      </c>
      <c r="H244" s="19" t="s">
        <v>43</v>
      </c>
      <c r="I244" s="19" t="s">
        <v>34</v>
      </c>
      <c r="J244" s="22" t="n">
        <f aca="false">IF(E244="ENTRADA",F244-G244,G244-F244)</f>
        <v>-38.36</v>
      </c>
      <c r="K244" s="23" t="n">
        <f aca="false">IFERROR(IF(G244=0,0,J244/G244),0)</f>
        <v>-0.061376</v>
      </c>
      <c r="L244" s="24" t="n">
        <v>0.858</v>
      </c>
      <c r="M244" s="25" t="s">
        <v>25</v>
      </c>
      <c r="N244" s="23" t="n">
        <f aca="false">IFERROR(IF(E244="ENTRADA",IF(G244=0,1,MIN(F244/G244,2)),IF(G244=0,1,MAX(1-ABS(J244)/G244,0))),0)</f>
        <v>0.938624</v>
      </c>
      <c r="O244" s="26" t="n">
        <v>252</v>
      </c>
    </row>
    <row r="245" customFormat="false" ht="18.75" hidden="false" customHeight="true" outlineLevel="0" collapsed="false">
      <c r="A245" s="6" t="s">
        <v>286</v>
      </c>
      <c r="B245" s="7" t="s">
        <v>67</v>
      </c>
      <c r="C245" s="8" t="s">
        <v>46</v>
      </c>
      <c r="D245" s="8" t="s">
        <v>68</v>
      </c>
      <c r="E245" s="28" t="s">
        <v>48</v>
      </c>
      <c r="F245" s="10" t="n">
        <v>868.4</v>
      </c>
      <c r="G245" s="10" t="n">
        <v>0</v>
      </c>
      <c r="H245" s="8" t="s">
        <v>43</v>
      </c>
      <c r="I245" s="8" t="s">
        <v>24</v>
      </c>
      <c r="J245" s="12" t="n">
        <f aca="false">IF(E245="ENTRADA",F245-G245,G245-F245)</f>
        <v>868.4</v>
      </c>
      <c r="K245" s="13" t="n">
        <f aca="false">IFERROR(IF(G245=0,0,J245/G245),0)</f>
        <v>0</v>
      </c>
      <c r="L245" s="14" t="n">
        <v>0</v>
      </c>
      <c r="M245" s="16" t="s">
        <v>49</v>
      </c>
      <c r="N245" s="13" t="n">
        <f aca="false">IFERROR(IF(E245="ENTRADA",IF(G245=0,1,MIN(F245/G245,2)),IF(G245=0,1,MAX(1-ABS(J245)/G245,0))),0)</f>
        <v>1</v>
      </c>
      <c r="O245" s="16" t="n">
        <v>229</v>
      </c>
    </row>
    <row r="246" customFormat="false" ht="18.75" hidden="false" customHeight="true" outlineLevel="0" collapsed="false">
      <c r="A246" s="17" t="s">
        <v>286</v>
      </c>
      <c r="B246" s="18" t="s">
        <v>101</v>
      </c>
      <c r="C246" s="19" t="s">
        <v>85</v>
      </c>
      <c r="D246" s="19" t="s">
        <v>93</v>
      </c>
      <c r="E246" s="20" t="s">
        <v>22</v>
      </c>
      <c r="F246" s="21" t="n">
        <v>823.94</v>
      </c>
      <c r="G246" s="11" t="n">
        <v>625</v>
      </c>
      <c r="H246" s="19" t="s">
        <v>29</v>
      </c>
      <c r="I246" s="19" t="s">
        <v>34</v>
      </c>
      <c r="J246" s="22" t="n">
        <f aca="false">IF(E246="ENTRADA",F246-G246,G246-F246)</f>
        <v>-198.94</v>
      </c>
      <c r="K246" s="23" t="n">
        <f aca="false">IFERROR(IF(G246=0,0,J246/G246),0)</f>
        <v>-0.318304</v>
      </c>
      <c r="L246" s="24" t="n">
        <v>1.251</v>
      </c>
      <c r="M246" s="25" t="s">
        <v>25</v>
      </c>
      <c r="N246" s="23" t="n">
        <f aca="false">IFERROR(IF(E246="ENTRADA",IF(G246=0,1,MIN(F246/G246,2)),IF(G246=0,1,MAX(1-ABS(J246)/G246,0))),0)</f>
        <v>0.681696</v>
      </c>
      <c r="O246" s="26" t="n">
        <v>249</v>
      </c>
    </row>
    <row r="247" customFormat="false" ht="18.75" hidden="false" customHeight="true" outlineLevel="0" collapsed="false">
      <c r="A247" s="6" t="s">
        <v>287</v>
      </c>
      <c r="B247" s="7" t="s">
        <v>98</v>
      </c>
      <c r="C247" s="8" t="s">
        <v>20</v>
      </c>
      <c r="D247" s="8" t="s">
        <v>191</v>
      </c>
      <c r="E247" s="9" t="s">
        <v>22</v>
      </c>
      <c r="F247" s="10" t="n">
        <v>100.3</v>
      </c>
      <c r="G247" s="11" t="n">
        <v>87.5</v>
      </c>
      <c r="H247" s="8" t="s">
        <v>38</v>
      </c>
      <c r="I247" s="8" t="s">
        <v>24</v>
      </c>
      <c r="J247" s="12" t="n">
        <f aca="false">IF(E247="ENTRADA",F247-G247,G247-F247)</f>
        <v>-12.8</v>
      </c>
      <c r="K247" s="13" t="n">
        <f aca="false">IFERROR(IF(G247=0,0,J247/G247),0)</f>
        <v>-0.146285714285714</v>
      </c>
      <c r="L247" s="14" t="n">
        <v>-0.521</v>
      </c>
      <c r="M247" s="15" t="s">
        <v>25</v>
      </c>
      <c r="N247" s="13" t="n">
        <f aca="false">IFERROR(IF(E247="ENTRADA",IF(G247=0,1,MIN(F247/G247,2)),IF(G247=0,1,MAX(1-ABS(J247)/G247,0))),0)</f>
        <v>0.853714285714286</v>
      </c>
      <c r="O247" s="16" t="n">
        <v>236</v>
      </c>
    </row>
    <row r="248" customFormat="false" ht="18.75" hidden="false" customHeight="true" outlineLevel="0" collapsed="false">
      <c r="A248" s="17" t="s">
        <v>288</v>
      </c>
      <c r="B248" s="18" t="s">
        <v>199</v>
      </c>
      <c r="C248" s="19" t="s">
        <v>41</v>
      </c>
      <c r="D248" s="19" t="s">
        <v>114</v>
      </c>
      <c r="E248" s="20" t="s">
        <v>22</v>
      </c>
      <c r="F248" s="21" t="n">
        <v>796.53</v>
      </c>
      <c r="G248" s="11" t="n">
        <v>783.33</v>
      </c>
      <c r="H248" s="19" t="s">
        <v>29</v>
      </c>
      <c r="I248" s="19" t="s">
        <v>34</v>
      </c>
      <c r="J248" s="22" t="n">
        <f aca="false">IF(E248="ENTRADA",F248-G248,G248-F248)</f>
        <v>-13.1999999999999</v>
      </c>
      <c r="K248" s="23" t="n">
        <f aca="false">IFERROR(IF(G248=0,0,J248/G248),0)</f>
        <v>-0.0168511355367469</v>
      </c>
      <c r="L248" s="24" t="n">
        <v>1.184</v>
      </c>
      <c r="M248" s="25" t="s">
        <v>25</v>
      </c>
      <c r="N248" s="23" t="n">
        <f aca="false">IFERROR(IF(E248="ENTRADA",IF(G248=0,1,MIN(F248/G248,2)),IF(G248=0,1,MAX(1-ABS(J248)/G248,0))),0)</f>
        <v>0.983148864463253</v>
      </c>
      <c r="O248" s="26" t="n">
        <v>232</v>
      </c>
    </row>
    <row r="249" customFormat="false" ht="18.75" hidden="false" customHeight="true" outlineLevel="0" collapsed="false">
      <c r="A249" s="6" t="s">
        <v>288</v>
      </c>
      <c r="B249" s="7" t="s">
        <v>199</v>
      </c>
      <c r="C249" s="8" t="s">
        <v>41</v>
      </c>
      <c r="D249" s="8" t="s">
        <v>111</v>
      </c>
      <c r="E249" s="9" t="s">
        <v>22</v>
      </c>
      <c r="F249" s="10" t="n">
        <v>632.89</v>
      </c>
      <c r="G249" s="11" t="n">
        <v>783.33</v>
      </c>
      <c r="H249" s="8" t="s">
        <v>33</v>
      </c>
      <c r="I249" s="8" t="s">
        <v>34</v>
      </c>
      <c r="J249" s="12" t="n">
        <f aca="false">IF(E249="ENTRADA",F249-G249,G249-F249)</f>
        <v>150.44</v>
      </c>
      <c r="K249" s="13" t="n">
        <f aca="false">IFERROR(IF(G249=0,0,J249/G249),0)</f>
        <v>0.192051881071834</v>
      </c>
      <c r="L249" s="14" t="n">
        <v>0.783</v>
      </c>
      <c r="M249" s="15" t="s">
        <v>25</v>
      </c>
      <c r="N249" s="13" t="n">
        <f aca="false">IFERROR(IF(E249="ENTRADA",IF(G249=0,1,MIN(F249/G249,2)),IF(G249=0,1,MAX(1-ABS(J249)/G249,0))),0)</f>
        <v>0.807948118928166</v>
      </c>
      <c r="O249" s="16" t="n">
        <v>234</v>
      </c>
    </row>
    <row r="250" customFormat="false" ht="18.75" hidden="false" customHeight="true" outlineLevel="0" collapsed="false">
      <c r="A250" s="17" t="s">
        <v>288</v>
      </c>
      <c r="B250" s="18" t="s">
        <v>214</v>
      </c>
      <c r="C250" s="19" t="s">
        <v>76</v>
      </c>
      <c r="D250" s="19" t="s">
        <v>82</v>
      </c>
      <c r="E250" s="20" t="s">
        <v>22</v>
      </c>
      <c r="F250" s="21" t="n">
        <v>41.18</v>
      </c>
      <c r="G250" s="11" t="n">
        <v>75</v>
      </c>
      <c r="H250" s="19" t="s">
        <v>29</v>
      </c>
      <c r="I250" s="19" t="s">
        <v>34</v>
      </c>
      <c r="J250" s="22" t="n">
        <f aca="false">IF(E250="ENTRADA",F250-G250,G250-F250)</f>
        <v>33.82</v>
      </c>
      <c r="K250" s="23" t="n">
        <f aca="false">IFERROR(IF(G250=0,0,J250/G250),0)</f>
        <v>0.450933333333333</v>
      </c>
      <c r="L250" s="24" t="n">
        <v>-0.665</v>
      </c>
      <c r="M250" s="25" t="s">
        <v>25</v>
      </c>
      <c r="N250" s="23" t="n">
        <f aca="false">IFERROR(IF(E250="ENTRADA",IF(G250=0,1,MIN(F250/G250,2)),IF(G250=0,1,MAX(1-ABS(J250)/G250,0))),0)</f>
        <v>0.549066666666667</v>
      </c>
      <c r="O250" s="26" t="n">
        <v>256</v>
      </c>
    </row>
    <row r="251" customFormat="false" ht="18.75" hidden="false" customHeight="true" outlineLevel="0" collapsed="false">
      <c r="A251" s="6" t="s">
        <v>289</v>
      </c>
      <c r="B251" s="7" t="s">
        <v>131</v>
      </c>
      <c r="C251" s="8" t="s">
        <v>52</v>
      </c>
      <c r="D251" s="8" t="s">
        <v>58</v>
      </c>
      <c r="E251" s="9" t="s">
        <v>22</v>
      </c>
      <c r="F251" s="10" t="n">
        <v>445.31</v>
      </c>
      <c r="G251" s="11" t="n">
        <v>450</v>
      </c>
      <c r="H251" s="8" t="s">
        <v>38</v>
      </c>
      <c r="I251" s="8" t="s">
        <v>24</v>
      </c>
      <c r="J251" s="12" t="n">
        <f aca="false">IF(E251="ENTRADA",F251-G251,G251-F251)</f>
        <v>4.69</v>
      </c>
      <c r="K251" s="13" t="n">
        <f aca="false">IFERROR(IF(G251=0,0,J251/G251),0)</f>
        <v>0.0104222222222222</v>
      </c>
      <c r="L251" s="14" t="n">
        <v>0.324</v>
      </c>
      <c r="M251" s="15" t="s">
        <v>25</v>
      </c>
      <c r="N251" s="13" t="n">
        <f aca="false">IFERROR(IF(E251="ENTRADA",IF(G251=0,1,MIN(F251/G251,2)),IF(G251=0,1,MAX(1-ABS(J251)/G251,0))),0)</f>
        <v>0.989577777777778</v>
      </c>
      <c r="O251" s="16" t="n">
        <v>231</v>
      </c>
    </row>
    <row r="252" customFormat="false" ht="18.75" hidden="false" customHeight="true" outlineLevel="0" collapsed="false">
      <c r="A252" s="17" t="s">
        <v>289</v>
      </c>
      <c r="B252" s="18" t="s">
        <v>84</v>
      </c>
      <c r="C252" s="19" t="s">
        <v>85</v>
      </c>
      <c r="D252" s="19" t="s">
        <v>93</v>
      </c>
      <c r="E252" s="20" t="s">
        <v>22</v>
      </c>
      <c r="F252" s="21" t="n">
        <v>791.32</v>
      </c>
      <c r="G252" s="11" t="n">
        <v>625</v>
      </c>
      <c r="H252" s="19" t="s">
        <v>23</v>
      </c>
      <c r="I252" s="19" t="s">
        <v>34</v>
      </c>
      <c r="J252" s="22" t="n">
        <f aca="false">IF(E252="ENTRADA",F252-G252,G252-F252)</f>
        <v>-166.32</v>
      </c>
      <c r="K252" s="23" t="n">
        <f aca="false">IFERROR(IF(G252=0,0,J252/G252),0)</f>
        <v>-0.266112</v>
      </c>
      <c r="L252" s="24" t="n">
        <v>1.171</v>
      </c>
      <c r="M252" s="25" t="s">
        <v>25</v>
      </c>
      <c r="N252" s="23" t="n">
        <f aca="false">IFERROR(IF(E252="ENTRADA",IF(G252=0,1,MIN(F252/G252,2)),IF(G252=0,1,MAX(1-ABS(J252)/G252,0))),0)</f>
        <v>0.733888</v>
      </c>
      <c r="O252" s="26" t="n">
        <v>251</v>
      </c>
    </row>
    <row r="253" customFormat="false" ht="18.75" hidden="false" customHeight="true" outlineLevel="0" collapsed="false">
      <c r="A253" s="6" t="s">
        <v>290</v>
      </c>
      <c r="B253" s="7" t="s">
        <v>106</v>
      </c>
      <c r="C253" s="8" t="s">
        <v>20</v>
      </c>
      <c r="D253" s="8" t="s">
        <v>99</v>
      </c>
      <c r="E253" s="9" t="s">
        <v>22</v>
      </c>
      <c r="F253" s="10" t="n">
        <v>142.68</v>
      </c>
      <c r="G253" s="11" t="n">
        <v>87.5</v>
      </c>
      <c r="H253" s="8" t="s">
        <v>33</v>
      </c>
      <c r="I253" s="8" t="s">
        <v>24</v>
      </c>
      <c r="J253" s="12" t="n">
        <f aca="false">IF(E253="ENTRADA",F253-G253,G253-F253)</f>
        <v>-55.18</v>
      </c>
      <c r="K253" s="13" t="n">
        <f aca="false">IFERROR(IF(G253=0,0,J253/G253),0)</f>
        <v>-0.630628571428572</v>
      </c>
      <c r="L253" s="14" t="n">
        <v>-0.417</v>
      </c>
      <c r="M253" s="15" t="s">
        <v>25</v>
      </c>
      <c r="N253" s="13" t="n">
        <f aca="false">IFERROR(IF(E253="ENTRADA",IF(G253=0,1,MIN(F253/G253,2)),IF(G253=0,1,MAX(1-ABS(J253)/G253,0))),0)</f>
        <v>0.369371428571428</v>
      </c>
      <c r="O253" s="16" t="n">
        <v>237</v>
      </c>
    </row>
    <row r="254" customFormat="false" ht="18.75" hidden="false" customHeight="true" outlineLevel="0" collapsed="false">
      <c r="A254" s="17" t="s">
        <v>291</v>
      </c>
      <c r="B254" s="18" t="s">
        <v>55</v>
      </c>
      <c r="C254" s="19" t="s">
        <v>27</v>
      </c>
      <c r="D254" s="19" t="s">
        <v>28</v>
      </c>
      <c r="E254" s="20" t="s">
        <v>22</v>
      </c>
      <c r="F254" s="21" t="n">
        <v>185.99</v>
      </c>
      <c r="G254" s="11" t="n">
        <v>144</v>
      </c>
      <c r="H254" s="19" t="s">
        <v>33</v>
      </c>
      <c r="I254" s="19" t="s">
        <v>24</v>
      </c>
      <c r="J254" s="22" t="n">
        <f aca="false">IF(E254="ENTRADA",F254-G254,G254-F254)</f>
        <v>-41.99</v>
      </c>
      <c r="K254" s="23" t="n">
        <f aca="false">IFERROR(IF(G254=0,0,J254/G254),0)</f>
        <v>-0.291597222222222</v>
      </c>
      <c r="L254" s="24" t="n">
        <v>-0.311</v>
      </c>
      <c r="M254" s="25" t="s">
        <v>25</v>
      </c>
      <c r="N254" s="23" t="n">
        <f aca="false">IFERROR(IF(E254="ENTRADA",IF(G254=0,1,MIN(F254/G254,2)),IF(G254=0,1,MAX(1-ABS(J254)/G254,0))),0)</f>
        <v>0.708402777777778</v>
      </c>
      <c r="O254" s="26" t="n">
        <v>241</v>
      </c>
    </row>
    <row r="255" customFormat="false" ht="18.75" hidden="false" customHeight="true" outlineLevel="0" collapsed="false">
      <c r="A255" s="6" t="s">
        <v>292</v>
      </c>
      <c r="B255" s="7" t="s">
        <v>106</v>
      </c>
      <c r="C255" s="8" t="s">
        <v>20</v>
      </c>
      <c r="D255" s="8" t="s">
        <v>129</v>
      </c>
      <c r="E255" s="9" t="s">
        <v>22</v>
      </c>
      <c r="F255" s="10" t="n">
        <v>100.8</v>
      </c>
      <c r="G255" s="11" t="n">
        <v>87.5</v>
      </c>
      <c r="H255" s="8" t="s">
        <v>33</v>
      </c>
      <c r="I255" s="8" t="s">
        <v>34</v>
      </c>
      <c r="J255" s="12" t="n">
        <f aca="false">IF(E255="ENTRADA",F255-G255,G255-F255)</f>
        <v>-13.3</v>
      </c>
      <c r="K255" s="13" t="n">
        <f aca="false">IFERROR(IF(G255=0,0,J255/G255),0)</f>
        <v>-0.152</v>
      </c>
      <c r="L255" s="14" t="n">
        <v>-0.519</v>
      </c>
      <c r="M255" s="15" t="s">
        <v>25</v>
      </c>
      <c r="N255" s="13" t="n">
        <f aca="false">IFERROR(IF(E255="ENTRADA",IF(G255=0,1,MIN(F255/G255,2)),IF(G255=0,1,MAX(1-ABS(J255)/G255,0))),0)</f>
        <v>0.848</v>
      </c>
      <c r="O255" s="16" t="n">
        <v>235</v>
      </c>
    </row>
    <row r="256" customFormat="false" ht="18.75" hidden="false" customHeight="true" outlineLevel="0" collapsed="false">
      <c r="A256" s="17" t="s">
        <v>292</v>
      </c>
      <c r="B256" s="18" t="s">
        <v>214</v>
      </c>
      <c r="C256" s="19" t="s">
        <v>76</v>
      </c>
      <c r="D256" s="19" t="s">
        <v>77</v>
      </c>
      <c r="E256" s="20" t="s">
        <v>22</v>
      </c>
      <c r="F256" s="21" t="n">
        <v>44.06</v>
      </c>
      <c r="G256" s="11" t="n">
        <v>75</v>
      </c>
      <c r="H256" s="19" t="s">
        <v>43</v>
      </c>
      <c r="I256" s="19" t="s">
        <v>34</v>
      </c>
      <c r="J256" s="22" t="n">
        <f aca="false">IF(E256="ENTRADA",F256-G256,G256-F256)</f>
        <v>30.94</v>
      </c>
      <c r="K256" s="23" t="n">
        <f aca="false">IFERROR(IF(G256=0,0,J256/G256),0)</f>
        <v>0.412533333333333</v>
      </c>
      <c r="L256" s="24" t="n">
        <v>-0.658</v>
      </c>
      <c r="M256" s="25" t="s">
        <v>25</v>
      </c>
      <c r="N256" s="23" t="n">
        <f aca="false">IFERROR(IF(E256="ENTRADA",IF(G256=0,1,MIN(F256/G256,2)),IF(G256=0,1,MAX(1-ABS(J256)/G256,0))),0)</f>
        <v>0.587466666666667</v>
      </c>
      <c r="O256" s="26" t="n">
        <v>253</v>
      </c>
    </row>
    <row r="257" customFormat="false" ht="18.75" hidden="false" customHeight="true" outlineLevel="0" collapsed="false">
      <c r="A257" s="6" t="s">
        <v>293</v>
      </c>
      <c r="B257" s="7" t="s">
        <v>138</v>
      </c>
      <c r="C257" s="8" t="s">
        <v>27</v>
      </c>
      <c r="D257" s="8" t="s">
        <v>146</v>
      </c>
      <c r="E257" s="9" t="s">
        <v>22</v>
      </c>
      <c r="F257" s="10" t="n">
        <v>214.88</v>
      </c>
      <c r="G257" s="11" t="n">
        <v>144</v>
      </c>
      <c r="H257" s="8" t="s">
        <v>38</v>
      </c>
      <c r="I257" s="8" t="s">
        <v>24</v>
      </c>
      <c r="J257" s="12" t="n">
        <f aca="false">IF(E257="ENTRADA",F257-G257,G257-F257)</f>
        <v>-70.88</v>
      </c>
      <c r="K257" s="13" t="n">
        <f aca="false">IFERROR(IF(G257=0,0,J257/G257),0)</f>
        <v>-0.492222222222222</v>
      </c>
      <c r="L257" s="14" t="n">
        <v>-0.24</v>
      </c>
      <c r="M257" s="15" t="s">
        <v>25</v>
      </c>
      <c r="N257" s="13" t="n">
        <f aca="false">IFERROR(IF(E257="ENTRADA",IF(G257=0,1,MIN(F257/G257,2)),IF(G257=0,1,MAX(1-ABS(J257)/G257,0))),0)</f>
        <v>0.507777777777778</v>
      </c>
      <c r="O257" s="16" t="n">
        <v>239</v>
      </c>
    </row>
    <row r="258" customFormat="false" ht="18.75" hidden="false" customHeight="true" outlineLevel="0" collapsed="false">
      <c r="A258" s="17" t="s">
        <v>294</v>
      </c>
      <c r="B258" s="18" t="s">
        <v>70</v>
      </c>
      <c r="C258" s="19" t="s">
        <v>36</v>
      </c>
      <c r="D258" s="19" t="s">
        <v>62</v>
      </c>
      <c r="E258" s="20" t="s">
        <v>22</v>
      </c>
      <c r="F258" s="21" t="n">
        <v>70.03</v>
      </c>
      <c r="G258" s="11" t="n">
        <v>133.33</v>
      </c>
      <c r="H258" s="19" t="s">
        <v>23</v>
      </c>
      <c r="I258" s="19" t="s">
        <v>24</v>
      </c>
      <c r="J258" s="22" t="n">
        <f aca="false">IF(E258="ENTRADA",F258-G258,G258-F258)</f>
        <v>63.3</v>
      </c>
      <c r="K258" s="23" t="n">
        <f aca="false">IFERROR(IF(G258=0,0,J258/G258),0)</f>
        <v>0.474761869046726</v>
      </c>
      <c r="L258" s="24" t="n">
        <v>-0.595</v>
      </c>
      <c r="M258" s="25" t="s">
        <v>25</v>
      </c>
      <c r="N258" s="23" t="n">
        <f aca="false">IFERROR(IF(E258="ENTRADA",IF(G258=0,1,MIN(F258/G258,2)),IF(G258=0,1,MAX(1-ABS(J258)/G258,0))),0)</f>
        <v>0.525238130953274</v>
      </c>
      <c r="O258" s="26" t="n">
        <v>247</v>
      </c>
    </row>
    <row r="259" customFormat="false" ht="18.75" hidden="false" customHeight="true" outlineLevel="0" collapsed="false">
      <c r="A259" s="6" t="s">
        <v>295</v>
      </c>
      <c r="B259" s="7" t="s">
        <v>95</v>
      </c>
      <c r="C259" s="8" t="s">
        <v>31</v>
      </c>
      <c r="D259" s="8" t="s">
        <v>60</v>
      </c>
      <c r="E259" s="9" t="s">
        <v>22</v>
      </c>
      <c r="F259" s="10" t="n">
        <v>152.81</v>
      </c>
      <c r="G259" s="11" t="n">
        <v>140</v>
      </c>
      <c r="H259" s="8" t="s">
        <v>23</v>
      </c>
      <c r="I259" s="8" t="s">
        <v>24</v>
      </c>
      <c r="J259" s="12" t="n">
        <f aca="false">IF(E259="ENTRADA",F259-G259,G259-F259)</f>
        <v>-12.81</v>
      </c>
      <c r="K259" s="13" t="n">
        <f aca="false">IFERROR(IF(G259=0,0,J259/G259),0)</f>
        <v>-0.0915</v>
      </c>
      <c r="L259" s="14" t="n">
        <v>-0.392</v>
      </c>
      <c r="M259" s="15" t="s">
        <v>25</v>
      </c>
      <c r="N259" s="13" t="n">
        <f aca="false">IFERROR(IF(E259="ENTRADA",IF(G259=0,1,MIN(F259/G259,2)),IF(G259=0,1,MAX(1-ABS(J259)/G259,0))),0)</f>
        <v>0.9085</v>
      </c>
      <c r="O259" s="16" t="n">
        <v>244</v>
      </c>
    </row>
    <row r="260" customFormat="false" ht="18.75" hidden="false" customHeight="true" outlineLevel="0" collapsed="false">
      <c r="A260" s="17" t="s">
        <v>295</v>
      </c>
      <c r="B260" s="18" t="s">
        <v>35</v>
      </c>
      <c r="C260" s="19" t="s">
        <v>36</v>
      </c>
      <c r="D260" s="19" t="s">
        <v>62</v>
      </c>
      <c r="E260" s="20" t="s">
        <v>22</v>
      </c>
      <c r="F260" s="21" t="n">
        <v>163.26</v>
      </c>
      <c r="G260" s="11" t="n">
        <v>133.33</v>
      </c>
      <c r="H260" s="19" t="s">
        <v>43</v>
      </c>
      <c r="I260" s="19" t="s">
        <v>34</v>
      </c>
      <c r="J260" s="22" t="n">
        <f aca="false">IF(E260="ENTRADA",F260-G260,G260-F260)</f>
        <v>-29.93</v>
      </c>
      <c r="K260" s="23" t="n">
        <f aca="false">IFERROR(IF(G260=0,0,J260/G260),0)</f>
        <v>-0.2244806120153</v>
      </c>
      <c r="L260" s="24" t="n">
        <v>-0.367</v>
      </c>
      <c r="M260" s="25" t="s">
        <v>25</v>
      </c>
      <c r="N260" s="23" t="n">
        <f aca="false">IFERROR(IF(E260="ENTRADA",IF(G260=0,1,MIN(F260/G260,2)),IF(G260=0,1,MAX(1-ABS(J260)/G260,0))),0)</f>
        <v>0.7755193879847</v>
      </c>
      <c r="O260" s="26" t="n">
        <v>246</v>
      </c>
    </row>
    <row r="261" customFormat="false" ht="18.75" hidden="false" customHeight="true" outlineLevel="0" collapsed="false">
      <c r="A261" s="6" t="s">
        <v>296</v>
      </c>
      <c r="B261" s="7" t="s">
        <v>30</v>
      </c>
      <c r="C261" s="8" t="s">
        <v>31</v>
      </c>
      <c r="D261" s="8" t="s">
        <v>60</v>
      </c>
      <c r="E261" s="9" t="s">
        <v>22</v>
      </c>
      <c r="F261" s="10" t="n">
        <v>175.01</v>
      </c>
      <c r="G261" s="11" t="n">
        <v>140</v>
      </c>
      <c r="H261" s="8" t="s">
        <v>29</v>
      </c>
      <c r="I261" s="8" t="s">
        <v>24</v>
      </c>
      <c r="J261" s="12" t="n">
        <f aca="false">IF(E261="ENTRADA",F261-G261,G261-F261)</f>
        <v>-35.01</v>
      </c>
      <c r="K261" s="13" t="n">
        <f aca="false">IFERROR(IF(G261=0,0,J261/G261),0)</f>
        <v>-0.250071428571429</v>
      </c>
      <c r="L261" s="14" t="n">
        <v>-0.338</v>
      </c>
      <c r="M261" s="15" t="s">
        <v>25</v>
      </c>
      <c r="N261" s="13" t="n">
        <f aca="false">IFERROR(IF(E261="ENTRADA",IF(G261=0,1,MIN(F261/G261,2)),IF(G261=0,1,MAX(1-ABS(J261)/G261,0))),0)</f>
        <v>0.749928571428572</v>
      </c>
      <c r="O261" s="16" t="n">
        <v>245</v>
      </c>
    </row>
    <row r="262" customFormat="false" ht="18.75" hidden="false" customHeight="true" outlineLevel="0" collapsed="false">
      <c r="A262" s="17" t="s">
        <v>296</v>
      </c>
      <c r="B262" s="18" t="s">
        <v>101</v>
      </c>
      <c r="C262" s="19" t="s">
        <v>85</v>
      </c>
      <c r="D262" s="19" t="s">
        <v>86</v>
      </c>
      <c r="E262" s="20" t="s">
        <v>22</v>
      </c>
      <c r="F262" s="21" t="n">
        <v>790.47</v>
      </c>
      <c r="G262" s="11" t="n">
        <v>625</v>
      </c>
      <c r="H262" s="19" t="s">
        <v>38</v>
      </c>
      <c r="I262" s="19" t="s">
        <v>34</v>
      </c>
      <c r="J262" s="22" t="n">
        <f aca="false">IF(E262="ENTRADA",F262-G262,G262-F262)</f>
        <v>-165.47</v>
      </c>
      <c r="K262" s="23" t="n">
        <f aca="false">IFERROR(IF(G262=0,0,J262/G262),0)</f>
        <v>-0.264752</v>
      </c>
      <c r="L262" s="24" t="n">
        <v>1.169</v>
      </c>
      <c r="M262" s="25" t="s">
        <v>25</v>
      </c>
      <c r="N262" s="23" t="n">
        <f aca="false">IFERROR(IF(E262="ENTRADA",IF(G262=0,1,MIN(F262/G262,2)),IF(G262=0,1,MAX(1-ABS(J262)/G262,0))),0)</f>
        <v>0.735248</v>
      </c>
      <c r="O262" s="26" t="n">
        <v>250</v>
      </c>
    </row>
    <row r="263" customFormat="false" ht="18.75" hidden="false" customHeight="true" outlineLevel="0" collapsed="false">
      <c r="A263" s="6" t="s">
        <v>297</v>
      </c>
      <c r="B263" s="7" t="s">
        <v>98</v>
      </c>
      <c r="C263" s="8" t="s">
        <v>20</v>
      </c>
      <c r="D263" s="8" t="s">
        <v>21</v>
      </c>
      <c r="E263" s="9" t="s">
        <v>22</v>
      </c>
      <c r="F263" s="10" t="n">
        <v>86.31</v>
      </c>
      <c r="G263" s="11" t="n">
        <v>87.5</v>
      </c>
      <c r="H263" s="8" t="s">
        <v>38</v>
      </c>
      <c r="I263" s="8" t="s">
        <v>34</v>
      </c>
      <c r="J263" s="12" t="n">
        <f aca="false">IF(E263="ENTRADA",F263-G263,G263-F263)</f>
        <v>1.19</v>
      </c>
      <c r="K263" s="13" t="n">
        <f aca="false">IFERROR(IF(G263=0,0,J263/G263),0)</f>
        <v>0.0136</v>
      </c>
      <c r="L263" s="14" t="n">
        <v>-0.555</v>
      </c>
      <c r="M263" s="15" t="s">
        <v>25</v>
      </c>
      <c r="N263" s="13" t="n">
        <f aca="false">IFERROR(IF(E263="ENTRADA",IF(G263=0,1,MIN(F263/G263,2)),IF(G263=0,1,MAX(1-ABS(J263)/G263,0))),0)</f>
        <v>0.9864</v>
      </c>
      <c r="O263" s="16" t="n">
        <v>262</v>
      </c>
    </row>
    <row r="264" customFormat="false" ht="18.75" hidden="false" customHeight="true" outlineLevel="0" collapsed="false">
      <c r="A264" s="17" t="s">
        <v>297</v>
      </c>
      <c r="B264" s="18" t="s">
        <v>106</v>
      </c>
      <c r="C264" s="19" t="s">
        <v>20</v>
      </c>
      <c r="D264" s="19" t="s">
        <v>167</v>
      </c>
      <c r="E264" s="20" t="s">
        <v>22</v>
      </c>
      <c r="F264" s="21" t="n">
        <v>56.85</v>
      </c>
      <c r="G264" s="11" t="n">
        <v>87.5</v>
      </c>
      <c r="H264" s="19" t="s">
        <v>38</v>
      </c>
      <c r="I264" s="19" t="s">
        <v>34</v>
      </c>
      <c r="J264" s="22" t="n">
        <f aca="false">IF(E264="ENTRADA",F264-G264,G264-F264)</f>
        <v>30.65</v>
      </c>
      <c r="K264" s="23" t="n">
        <f aca="false">IFERROR(IF(G264=0,0,J264/G264),0)</f>
        <v>0.350285714285714</v>
      </c>
      <c r="L264" s="24" t="n">
        <v>-0.627</v>
      </c>
      <c r="M264" s="25" t="s">
        <v>25</v>
      </c>
      <c r="N264" s="23" t="n">
        <f aca="false">IFERROR(IF(E264="ENTRADA",IF(G264=0,1,MIN(F264/G264,2)),IF(G264=0,1,MAX(1-ABS(J264)/G264,0))),0)</f>
        <v>0.649714285714286</v>
      </c>
      <c r="O264" s="26" t="n">
        <v>264</v>
      </c>
    </row>
    <row r="265" customFormat="false" ht="18.75" hidden="false" customHeight="true" outlineLevel="0" collapsed="false">
      <c r="A265" s="6" t="s">
        <v>297</v>
      </c>
      <c r="B265" s="7" t="s">
        <v>120</v>
      </c>
      <c r="C265" s="8" t="s">
        <v>85</v>
      </c>
      <c r="D265" s="8" t="s">
        <v>91</v>
      </c>
      <c r="E265" s="9" t="s">
        <v>22</v>
      </c>
      <c r="F265" s="10" t="n">
        <v>596.33</v>
      </c>
      <c r="G265" s="11" t="n">
        <v>833.33</v>
      </c>
      <c r="H265" s="8" t="s">
        <v>23</v>
      </c>
      <c r="I265" s="8" t="s">
        <v>34</v>
      </c>
      <c r="J265" s="12" t="n">
        <f aca="false">IF(E265="ENTRADA",F265-G265,G265-F265)</f>
        <v>237</v>
      </c>
      <c r="K265" s="13" t="n">
        <f aca="false">IFERROR(IF(G265=0,0,J265/G265),0)</f>
        <v>0.28440113760455</v>
      </c>
      <c r="L265" s="14" t="n">
        <v>0.694</v>
      </c>
      <c r="M265" s="15" t="s">
        <v>25</v>
      </c>
      <c r="N265" s="13" t="n">
        <f aca="false">IFERROR(IF(E265="ENTRADA",IF(G265=0,1,MIN(F265/G265,2)),IF(G265=0,1,MAX(1-ABS(J265)/G265,0))),0)</f>
        <v>0.71559886239545</v>
      </c>
      <c r="O265" s="16" t="n">
        <v>270</v>
      </c>
    </row>
    <row r="266" customFormat="false" ht="18.75" hidden="false" customHeight="true" outlineLevel="0" collapsed="false">
      <c r="A266" s="17" t="s">
        <v>298</v>
      </c>
      <c r="B266" s="18" t="s">
        <v>35</v>
      </c>
      <c r="C266" s="19" t="s">
        <v>36</v>
      </c>
      <c r="D266" s="19" t="s">
        <v>71</v>
      </c>
      <c r="E266" s="20" t="s">
        <v>22</v>
      </c>
      <c r="F266" s="21" t="n">
        <v>191.1</v>
      </c>
      <c r="G266" s="11" t="n">
        <v>200</v>
      </c>
      <c r="H266" s="19" t="s">
        <v>43</v>
      </c>
      <c r="I266" s="19" t="s">
        <v>24</v>
      </c>
      <c r="J266" s="22" t="n">
        <f aca="false">IF(E266="ENTRADA",F266-G266,G266-F266)</f>
        <v>8.90000000000001</v>
      </c>
      <c r="K266" s="23" t="n">
        <f aca="false">IFERROR(IF(G266=0,0,J266/G266),0)</f>
        <v>0.0445</v>
      </c>
      <c r="L266" s="24" t="n">
        <v>-0.298</v>
      </c>
      <c r="M266" s="25" t="s">
        <v>25</v>
      </c>
      <c r="N266" s="23" t="n">
        <f aca="false">IFERROR(IF(E266="ENTRADA",IF(G266=0,1,MIN(F266/G266,2)),IF(G266=0,1,MAX(1-ABS(J266)/G266,0))),0)</f>
        <v>0.9555</v>
      </c>
      <c r="O266" s="26" t="n">
        <v>268</v>
      </c>
    </row>
    <row r="267" customFormat="false" ht="18.75" hidden="false" customHeight="true" outlineLevel="0" collapsed="false">
      <c r="A267" s="6" t="s">
        <v>298</v>
      </c>
      <c r="B267" s="7" t="s">
        <v>84</v>
      </c>
      <c r="C267" s="8" t="s">
        <v>85</v>
      </c>
      <c r="D267" s="8" t="s">
        <v>91</v>
      </c>
      <c r="E267" s="9" t="s">
        <v>22</v>
      </c>
      <c r="F267" s="10" t="n">
        <v>547.73</v>
      </c>
      <c r="G267" s="11" t="n">
        <v>833.33</v>
      </c>
      <c r="H267" s="8" t="s">
        <v>29</v>
      </c>
      <c r="I267" s="8" t="s">
        <v>34</v>
      </c>
      <c r="J267" s="12" t="n">
        <f aca="false">IF(E267="ENTRADA",F267-G267,G267-F267)</f>
        <v>285.6</v>
      </c>
      <c r="K267" s="13" t="n">
        <f aca="false">IFERROR(IF(G267=0,0,J267/G267),0)</f>
        <v>0.342721370885484</v>
      </c>
      <c r="L267" s="14" t="n">
        <v>0.575</v>
      </c>
      <c r="M267" s="15" t="s">
        <v>25</v>
      </c>
      <c r="N267" s="13" t="n">
        <f aca="false">IFERROR(IF(E267="ENTRADA",IF(G267=0,1,MIN(F267/G267,2)),IF(G267=0,1,MAX(1-ABS(J267)/G267,0))),0)</f>
        <v>0.657278629114517</v>
      </c>
      <c r="O267" s="16" t="n">
        <v>271</v>
      </c>
    </row>
    <row r="268" customFormat="false" ht="18.75" hidden="false" customHeight="true" outlineLevel="0" collapsed="false">
      <c r="A268" s="17" t="s">
        <v>299</v>
      </c>
      <c r="B268" s="18" t="s">
        <v>300</v>
      </c>
      <c r="C268" s="19" t="s">
        <v>46</v>
      </c>
      <c r="D268" s="19" t="s">
        <v>47</v>
      </c>
      <c r="E268" s="27" t="s">
        <v>48</v>
      </c>
      <c r="F268" s="21" t="n">
        <v>8252.35</v>
      </c>
      <c r="G268" s="11" t="n">
        <v>8500</v>
      </c>
      <c r="H268" s="19" t="s">
        <v>29</v>
      </c>
      <c r="I268" s="19" t="s">
        <v>34</v>
      </c>
      <c r="J268" s="22" t="n">
        <f aca="false">IF(E268="ENTRADA",F268-G268,G268-F268)</f>
        <v>-247.65</v>
      </c>
      <c r="K268" s="23" t="n">
        <f aca="false">IFERROR(IF(G268=0,0,J268/G268),0)</f>
        <v>-0.029135294117647</v>
      </c>
      <c r="L268" s="24" t="n">
        <v>0</v>
      </c>
      <c r="M268" s="26" t="s">
        <v>49</v>
      </c>
      <c r="N268" s="23" t="n">
        <f aca="false">IFERROR(IF(E268="ENTRADA",IF(G268=0,1,MIN(F268/G268,2)),IF(G268=0,1,MAX(1-ABS(J268)/G268,0))),0)</f>
        <v>0.970864705882353</v>
      </c>
      <c r="O268" s="26" t="n">
        <v>257</v>
      </c>
    </row>
    <row r="269" customFormat="false" ht="18.75" hidden="false" customHeight="true" outlineLevel="0" collapsed="false">
      <c r="A269" s="6" t="s">
        <v>301</v>
      </c>
      <c r="B269" s="7" t="s">
        <v>106</v>
      </c>
      <c r="C269" s="8" t="s">
        <v>20</v>
      </c>
      <c r="D269" s="8" t="s">
        <v>191</v>
      </c>
      <c r="E269" s="9" t="s">
        <v>22</v>
      </c>
      <c r="F269" s="10" t="n">
        <v>85.23</v>
      </c>
      <c r="G269" s="11" t="n">
        <v>87.5</v>
      </c>
      <c r="H269" s="8" t="s">
        <v>33</v>
      </c>
      <c r="I269" s="8" t="s">
        <v>24</v>
      </c>
      <c r="J269" s="12" t="n">
        <f aca="false">IF(E269="ENTRADA",F269-G269,G269-F269)</f>
        <v>2.27</v>
      </c>
      <c r="K269" s="13" t="n">
        <f aca="false">IFERROR(IF(G269=0,0,J269/G269),0)</f>
        <v>0.0259428571428571</v>
      </c>
      <c r="L269" s="14" t="n">
        <v>-0.558</v>
      </c>
      <c r="M269" s="15" t="s">
        <v>25</v>
      </c>
      <c r="N269" s="13" t="n">
        <f aca="false">IFERROR(IF(E269="ENTRADA",IF(G269=0,1,MIN(F269/G269,2)),IF(G269=0,1,MAX(1-ABS(J269)/G269,0))),0)</f>
        <v>0.974057142857143</v>
      </c>
      <c r="O269" s="16" t="n">
        <v>261</v>
      </c>
    </row>
    <row r="270" customFormat="false" ht="18.75" hidden="false" customHeight="true" outlineLevel="0" collapsed="false">
      <c r="A270" s="17" t="s">
        <v>302</v>
      </c>
      <c r="B270" s="18" t="s">
        <v>30</v>
      </c>
      <c r="C270" s="19" t="s">
        <v>31</v>
      </c>
      <c r="D270" s="19" t="s">
        <v>32</v>
      </c>
      <c r="E270" s="20" t="s">
        <v>22</v>
      </c>
      <c r="F270" s="21" t="n">
        <v>157.79</v>
      </c>
      <c r="G270" s="11" t="n">
        <v>140</v>
      </c>
      <c r="H270" s="19" t="s">
        <v>43</v>
      </c>
      <c r="I270" s="19" t="s">
        <v>24</v>
      </c>
      <c r="J270" s="22" t="n">
        <f aca="false">IF(E270="ENTRADA",F270-G270,G270-F270)</f>
        <v>-17.79</v>
      </c>
      <c r="K270" s="23" t="n">
        <f aca="false">IFERROR(IF(G270=0,0,J270/G270),0)</f>
        <v>-0.127071428571429</v>
      </c>
      <c r="L270" s="24" t="n">
        <v>-0.38</v>
      </c>
      <c r="M270" s="25" t="s">
        <v>25</v>
      </c>
      <c r="N270" s="23" t="n">
        <f aca="false">IFERROR(IF(E270="ENTRADA",IF(G270=0,1,MIN(F270/G270,2)),IF(G270=0,1,MAX(1-ABS(J270)/G270,0))),0)</f>
        <v>0.872928571428572</v>
      </c>
      <c r="O270" s="26" t="n">
        <v>266</v>
      </c>
    </row>
    <row r="271" customFormat="false" ht="18.75" hidden="false" customHeight="true" outlineLevel="0" collapsed="false">
      <c r="A271" s="6" t="s">
        <v>303</v>
      </c>
      <c r="B271" s="7" t="s">
        <v>104</v>
      </c>
      <c r="C271" s="8" t="s">
        <v>76</v>
      </c>
      <c r="D271" s="8" t="s">
        <v>175</v>
      </c>
      <c r="E271" s="9" t="s">
        <v>22</v>
      </c>
      <c r="F271" s="10" t="n">
        <v>208.89</v>
      </c>
      <c r="G271" s="11" t="n">
        <v>300</v>
      </c>
      <c r="H271" s="8" t="s">
        <v>23</v>
      </c>
      <c r="I271" s="8" t="s">
        <v>34</v>
      </c>
      <c r="J271" s="12" t="n">
        <f aca="false">IF(E271="ENTRADA",F271-G271,G271-F271)</f>
        <v>91.11</v>
      </c>
      <c r="K271" s="13" t="n">
        <f aca="false">IFERROR(IF(G271=0,0,J271/G271),0)</f>
        <v>0.3037</v>
      </c>
      <c r="L271" s="14" t="n">
        <v>-0.255</v>
      </c>
      <c r="M271" s="15" t="s">
        <v>25</v>
      </c>
      <c r="N271" s="13" t="n">
        <f aca="false">IFERROR(IF(E271="ENTRADA",IF(G271=0,1,MIN(F271/G271,2)),IF(G271=0,1,MAX(1-ABS(J271)/G271,0))),0)</f>
        <v>0.6963</v>
      </c>
      <c r="O271" s="16" t="n">
        <v>273</v>
      </c>
    </row>
    <row r="272" customFormat="false" ht="18.75" hidden="false" customHeight="true" outlineLevel="0" collapsed="false">
      <c r="A272" s="17" t="s">
        <v>304</v>
      </c>
      <c r="B272" s="18" t="s">
        <v>67</v>
      </c>
      <c r="C272" s="19" t="s">
        <v>46</v>
      </c>
      <c r="D272" s="19" t="s">
        <v>68</v>
      </c>
      <c r="E272" s="27" t="s">
        <v>48</v>
      </c>
      <c r="F272" s="21" t="n">
        <v>1071.45</v>
      </c>
      <c r="G272" s="21" t="n">
        <v>0</v>
      </c>
      <c r="H272" s="19" t="s">
        <v>43</v>
      </c>
      <c r="I272" s="19" t="s">
        <v>24</v>
      </c>
      <c r="J272" s="22" t="n">
        <f aca="false">IF(E272="ENTRADA",F272-G272,G272-F272)</f>
        <v>1071.45</v>
      </c>
      <c r="K272" s="23" t="n">
        <f aca="false">IFERROR(IF(G272=0,0,J272/G272),0)</f>
        <v>0</v>
      </c>
      <c r="L272" s="24" t="n">
        <v>0</v>
      </c>
      <c r="M272" s="26" t="s">
        <v>49</v>
      </c>
      <c r="N272" s="23" t="n">
        <f aca="false">IFERROR(IF(E272="ENTRADA",IF(G272=0,1,MIN(F272/G272,2)),IF(G272=0,1,MAX(1-ABS(J272)/G272,0))),0)</f>
        <v>1</v>
      </c>
      <c r="O272" s="26" t="n">
        <v>258</v>
      </c>
    </row>
    <row r="273" customFormat="false" ht="18.75" hidden="false" customHeight="true" outlineLevel="0" collapsed="false">
      <c r="A273" s="6" t="s">
        <v>305</v>
      </c>
      <c r="B273" s="7" t="s">
        <v>199</v>
      </c>
      <c r="C273" s="8" t="s">
        <v>41</v>
      </c>
      <c r="D273" s="8" t="s">
        <v>65</v>
      </c>
      <c r="E273" s="9" t="s">
        <v>22</v>
      </c>
      <c r="F273" s="10" t="n">
        <v>2408.29</v>
      </c>
      <c r="G273" s="11" t="n">
        <v>2350</v>
      </c>
      <c r="H273" s="8" t="s">
        <v>29</v>
      </c>
      <c r="I273" s="8" t="s">
        <v>34</v>
      </c>
      <c r="J273" s="12" t="n">
        <f aca="false">IF(E273="ENTRADA",F273-G273,G273-F273)</f>
        <v>-58.29</v>
      </c>
      <c r="K273" s="13" t="n">
        <f aca="false">IFERROR(IF(G273=0,0,J273/G273),0)</f>
        <v>-0.0248042553191489</v>
      </c>
      <c r="L273" s="31" t="n">
        <v>5.13</v>
      </c>
      <c r="M273" s="32" t="s">
        <v>200</v>
      </c>
      <c r="N273" s="13" t="n">
        <f aca="false">IFERROR(IF(E273="ENTRADA",IF(G273=0,1,MIN(F273/G273,2)),IF(G273=0,1,MAX(1-ABS(J273)/G273,0))),0)</f>
        <v>0.975195744680851</v>
      </c>
      <c r="O273" s="16" t="n">
        <v>260</v>
      </c>
    </row>
    <row r="274" customFormat="false" ht="18.75" hidden="false" customHeight="true" outlineLevel="0" collapsed="false">
      <c r="A274" s="17" t="s">
        <v>306</v>
      </c>
      <c r="B274" s="18" t="s">
        <v>101</v>
      </c>
      <c r="C274" s="19" t="s">
        <v>85</v>
      </c>
      <c r="D274" s="19" t="s">
        <v>93</v>
      </c>
      <c r="E274" s="20" t="s">
        <v>22</v>
      </c>
      <c r="F274" s="21" t="n">
        <v>657.72</v>
      </c>
      <c r="G274" s="11" t="n">
        <v>833.33</v>
      </c>
      <c r="H274" s="19" t="s">
        <v>23</v>
      </c>
      <c r="I274" s="19" t="s">
        <v>34</v>
      </c>
      <c r="J274" s="22" t="n">
        <f aca="false">IF(E274="ENTRADA",F274-G274,G274-F274)</f>
        <v>175.61</v>
      </c>
      <c r="K274" s="23" t="n">
        <f aca="false">IFERROR(IF(G274=0,0,J274/G274),0)</f>
        <v>0.210732842931372</v>
      </c>
      <c r="L274" s="24" t="n">
        <v>0.844</v>
      </c>
      <c r="M274" s="25" t="s">
        <v>25</v>
      </c>
      <c r="N274" s="23" t="n">
        <f aca="false">IFERROR(IF(E274="ENTRADA",IF(G274=0,1,MIN(F274/G274,2)),IF(G274=0,1,MAX(1-ABS(J274)/G274,0))),0)</f>
        <v>0.789267157068628</v>
      </c>
      <c r="O274" s="26" t="n">
        <v>272</v>
      </c>
    </row>
    <row r="275" customFormat="false" ht="18.75" hidden="false" customHeight="true" outlineLevel="0" collapsed="false">
      <c r="A275" s="6" t="s">
        <v>307</v>
      </c>
      <c r="B275" s="7" t="s">
        <v>70</v>
      </c>
      <c r="C275" s="8" t="s">
        <v>36</v>
      </c>
      <c r="D275" s="8" t="s">
        <v>115</v>
      </c>
      <c r="E275" s="9" t="s">
        <v>22</v>
      </c>
      <c r="F275" s="10" t="n">
        <v>199.58</v>
      </c>
      <c r="G275" s="11" t="n">
        <v>200</v>
      </c>
      <c r="H275" s="8" t="s">
        <v>43</v>
      </c>
      <c r="I275" s="8" t="s">
        <v>34</v>
      </c>
      <c r="J275" s="12" t="n">
        <f aca="false">IF(E275="ENTRADA",F275-G275,G275-F275)</f>
        <v>0.419999999999988</v>
      </c>
      <c r="K275" s="13" t="n">
        <f aca="false">IFERROR(IF(G275=0,0,J275/G275),0)</f>
        <v>0.00209999999999994</v>
      </c>
      <c r="L275" s="14" t="n">
        <v>-0.278</v>
      </c>
      <c r="M275" s="15" t="s">
        <v>25</v>
      </c>
      <c r="N275" s="13" t="n">
        <f aca="false">IFERROR(IF(E275="ENTRADA",IF(G275=0,1,MIN(F275/G275,2)),IF(G275=0,1,MAX(1-ABS(J275)/G275,0))),0)</f>
        <v>0.9979</v>
      </c>
      <c r="O275" s="16" t="n">
        <v>269</v>
      </c>
    </row>
    <row r="276" customFormat="false" ht="18.75" hidden="false" customHeight="true" outlineLevel="0" collapsed="false">
      <c r="A276" s="17" t="s">
        <v>308</v>
      </c>
      <c r="B276" s="18" t="s">
        <v>88</v>
      </c>
      <c r="C276" s="19" t="s">
        <v>52</v>
      </c>
      <c r="D276" s="19" t="s">
        <v>53</v>
      </c>
      <c r="E276" s="20" t="s">
        <v>22</v>
      </c>
      <c r="F276" s="21" t="n">
        <v>722.5</v>
      </c>
      <c r="G276" s="11" t="n">
        <v>900</v>
      </c>
      <c r="H276" s="19" t="s">
        <v>29</v>
      </c>
      <c r="I276" s="19" t="s">
        <v>24</v>
      </c>
      <c r="J276" s="22" t="n">
        <f aca="false">IF(E276="ENTRADA",F276-G276,G276-F276)</f>
        <v>177.5</v>
      </c>
      <c r="K276" s="23" t="n">
        <f aca="false">IFERROR(IF(G276=0,0,J276/G276),0)</f>
        <v>0.197222222222222</v>
      </c>
      <c r="L276" s="24" t="n">
        <v>1.003</v>
      </c>
      <c r="M276" s="25" t="s">
        <v>25</v>
      </c>
      <c r="N276" s="23" t="n">
        <f aca="false">IFERROR(IF(E276="ENTRADA",IF(G276=0,1,MIN(F276/G276,2)),IF(G276=0,1,MAX(1-ABS(J276)/G276,0))),0)</f>
        <v>0.802777777777778</v>
      </c>
      <c r="O276" s="26" t="n">
        <v>259</v>
      </c>
    </row>
    <row r="277" customFormat="false" ht="18.75" hidden="false" customHeight="true" outlineLevel="0" collapsed="false">
      <c r="A277" s="6" t="s">
        <v>308</v>
      </c>
      <c r="B277" s="7" t="s">
        <v>108</v>
      </c>
      <c r="C277" s="8" t="s">
        <v>27</v>
      </c>
      <c r="D277" s="8" t="s">
        <v>80</v>
      </c>
      <c r="E277" s="9" t="s">
        <v>22</v>
      </c>
      <c r="F277" s="10" t="n">
        <v>344.29</v>
      </c>
      <c r="G277" s="11" t="n">
        <v>720</v>
      </c>
      <c r="H277" s="8" t="s">
        <v>23</v>
      </c>
      <c r="I277" s="8" t="s">
        <v>34</v>
      </c>
      <c r="J277" s="12" t="n">
        <f aca="false">IF(E277="ENTRADA",F277-G277,G277-F277)</f>
        <v>375.71</v>
      </c>
      <c r="K277" s="13" t="n">
        <f aca="false">IFERROR(IF(G277=0,0,J277/G277),0)</f>
        <v>0.521819444444444</v>
      </c>
      <c r="L277" s="14" t="n">
        <v>0.077</v>
      </c>
      <c r="M277" s="15" t="s">
        <v>25</v>
      </c>
      <c r="N277" s="13" t="n">
        <f aca="false">IFERROR(IF(E277="ENTRADA",IF(G277=0,1,MIN(F277/G277,2)),IF(G277=0,1,MAX(1-ABS(J277)/G277,0))),0)</f>
        <v>0.478180555555556</v>
      </c>
      <c r="O277" s="16" t="n">
        <v>265</v>
      </c>
    </row>
    <row r="278" customFormat="false" ht="18.75" hidden="false" customHeight="true" outlineLevel="0" collapsed="false">
      <c r="A278" s="17" t="s">
        <v>309</v>
      </c>
      <c r="B278" s="18" t="s">
        <v>98</v>
      </c>
      <c r="C278" s="19" t="s">
        <v>20</v>
      </c>
      <c r="D278" s="19" t="s">
        <v>191</v>
      </c>
      <c r="E278" s="20" t="s">
        <v>22</v>
      </c>
      <c r="F278" s="21" t="n">
        <v>107.51</v>
      </c>
      <c r="G278" s="11" t="n">
        <v>87.5</v>
      </c>
      <c r="H278" s="19" t="s">
        <v>38</v>
      </c>
      <c r="I278" s="19" t="s">
        <v>34</v>
      </c>
      <c r="J278" s="22" t="n">
        <f aca="false">IF(E278="ENTRADA",F278-G278,G278-F278)</f>
        <v>-20.01</v>
      </c>
      <c r="K278" s="23" t="n">
        <f aca="false">IFERROR(IF(G278=0,0,J278/G278),0)</f>
        <v>-0.228685714285714</v>
      </c>
      <c r="L278" s="24" t="n">
        <v>-0.503</v>
      </c>
      <c r="M278" s="25" t="s">
        <v>25</v>
      </c>
      <c r="N278" s="23" t="n">
        <f aca="false">IFERROR(IF(E278="ENTRADA",IF(G278=0,1,MIN(F278/G278,2)),IF(G278=0,1,MAX(1-ABS(J278)/G278,0))),0)</f>
        <v>0.771314285714286</v>
      </c>
      <c r="O278" s="26" t="n">
        <v>263</v>
      </c>
    </row>
    <row r="279" customFormat="false" ht="18.75" hidden="false" customHeight="true" outlineLevel="0" collapsed="false">
      <c r="A279" s="6" t="s">
        <v>309</v>
      </c>
      <c r="B279" s="7" t="s">
        <v>30</v>
      </c>
      <c r="C279" s="8" t="s">
        <v>31</v>
      </c>
      <c r="D279" s="8" t="s">
        <v>96</v>
      </c>
      <c r="E279" s="9" t="s">
        <v>22</v>
      </c>
      <c r="F279" s="10" t="n">
        <v>208.21</v>
      </c>
      <c r="G279" s="11" t="n">
        <v>140</v>
      </c>
      <c r="H279" s="8" t="s">
        <v>23</v>
      </c>
      <c r="I279" s="8" t="s">
        <v>24</v>
      </c>
      <c r="J279" s="12" t="n">
        <f aca="false">IF(E279="ENTRADA",F279-G279,G279-F279)</f>
        <v>-68.21</v>
      </c>
      <c r="K279" s="13" t="n">
        <f aca="false">IFERROR(IF(G279=0,0,J279/G279),0)</f>
        <v>-0.487214285714286</v>
      </c>
      <c r="L279" s="14" t="n">
        <v>-0.257</v>
      </c>
      <c r="M279" s="15" t="s">
        <v>25</v>
      </c>
      <c r="N279" s="13" t="n">
        <f aca="false">IFERROR(IF(E279="ENTRADA",IF(G279=0,1,MIN(F279/G279,2)),IF(G279=0,1,MAX(1-ABS(J279)/G279,0))),0)</f>
        <v>0.512785714285714</v>
      </c>
      <c r="O279" s="16" t="n">
        <v>267</v>
      </c>
    </row>
    <row r="280" customFormat="false" ht="18.75" hidden="false" customHeight="true" outlineLevel="0" collapsed="false">
      <c r="A280" s="17" t="s">
        <v>310</v>
      </c>
      <c r="B280" s="18" t="s">
        <v>70</v>
      </c>
      <c r="C280" s="19" t="s">
        <v>36</v>
      </c>
      <c r="D280" s="19" t="s">
        <v>115</v>
      </c>
      <c r="E280" s="20" t="s">
        <v>22</v>
      </c>
      <c r="F280" s="21" t="n">
        <v>61.28</v>
      </c>
      <c r="G280" s="11" t="n">
        <v>80</v>
      </c>
      <c r="H280" s="19" t="s">
        <v>33</v>
      </c>
      <c r="I280" s="19" t="s">
        <v>24</v>
      </c>
      <c r="J280" s="22" t="n">
        <f aca="false">IF(E280="ENTRADA",F280-G280,G280-F280)</f>
        <v>18.72</v>
      </c>
      <c r="K280" s="23" t="n">
        <f aca="false">IFERROR(IF(G280=0,0,J280/G280),0)</f>
        <v>0.234</v>
      </c>
      <c r="L280" s="24" t="n">
        <v>-0.616</v>
      </c>
      <c r="M280" s="25" t="s">
        <v>25</v>
      </c>
      <c r="N280" s="23" t="n">
        <f aca="false">IFERROR(IF(E280="ENTRADA",IF(G280=0,1,MIN(F280/G280,2)),IF(G280=0,1,MAX(1-ABS(J280)/G280,0))),0)</f>
        <v>0.766</v>
      </c>
      <c r="O280" s="26" t="n">
        <v>296</v>
      </c>
    </row>
    <row r="281" customFormat="false" ht="18.75" hidden="false" customHeight="true" outlineLevel="0" collapsed="false">
      <c r="A281" s="6" t="s">
        <v>311</v>
      </c>
      <c r="B281" s="7" t="s">
        <v>95</v>
      </c>
      <c r="C281" s="8" t="s">
        <v>31</v>
      </c>
      <c r="D281" s="8" t="s">
        <v>32</v>
      </c>
      <c r="E281" s="9" t="s">
        <v>22</v>
      </c>
      <c r="F281" s="10" t="n">
        <v>37.08</v>
      </c>
      <c r="G281" s="11" t="n">
        <v>56</v>
      </c>
      <c r="H281" s="8" t="s">
        <v>23</v>
      </c>
      <c r="I281" s="8" t="s">
        <v>24</v>
      </c>
      <c r="J281" s="12" t="n">
        <f aca="false">IF(E281="ENTRADA",F281-G281,G281-F281)</f>
        <v>18.92</v>
      </c>
      <c r="K281" s="13" t="n">
        <f aca="false">IFERROR(IF(G281=0,0,J281/G281),0)</f>
        <v>0.337857142857143</v>
      </c>
      <c r="L281" s="14" t="n">
        <v>-0.675</v>
      </c>
      <c r="M281" s="15" t="s">
        <v>25</v>
      </c>
      <c r="N281" s="13" t="n">
        <f aca="false">IFERROR(IF(E281="ENTRADA",IF(G281=0,1,MIN(F281/G281,2)),IF(G281=0,1,MAX(1-ABS(J281)/G281,0))),0)</f>
        <v>0.662142857142857</v>
      </c>
      <c r="O281" s="16" t="n">
        <v>289</v>
      </c>
    </row>
    <row r="282" customFormat="false" ht="18.75" hidden="false" customHeight="true" outlineLevel="0" collapsed="false">
      <c r="A282" s="17" t="s">
        <v>312</v>
      </c>
      <c r="B282" s="18" t="s">
        <v>138</v>
      </c>
      <c r="C282" s="19" t="s">
        <v>27</v>
      </c>
      <c r="D282" s="19" t="s">
        <v>28</v>
      </c>
      <c r="E282" s="20" t="s">
        <v>22</v>
      </c>
      <c r="F282" s="21" t="n">
        <v>256.61</v>
      </c>
      <c r="G282" s="11" t="n">
        <v>360</v>
      </c>
      <c r="H282" s="19" t="s">
        <v>33</v>
      </c>
      <c r="I282" s="19" t="s">
        <v>34</v>
      </c>
      <c r="J282" s="22" t="n">
        <f aca="false">IF(E282="ENTRADA",F282-G282,G282-F282)</f>
        <v>103.39</v>
      </c>
      <c r="K282" s="23" t="n">
        <f aca="false">IFERROR(IF(G282=0,0,J282/G282),0)</f>
        <v>0.287194444444444</v>
      </c>
      <c r="L282" s="24" t="n">
        <v>-0.138</v>
      </c>
      <c r="M282" s="25" t="s">
        <v>25</v>
      </c>
      <c r="N282" s="23" t="n">
        <f aca="false">IFERROR(IF(E282="ENTRADA",IF(G282=0,1,MIN(F282/G282,2)),IF(G282=0,1,MAX(1-ABS(J282)/G282,0))),0)</f>
        <v>0.712805555555556</v>
      </c>
      <c r="O282" s="26" t="n">
        <v>288</v>
      </c>
    </row>
    <row r="283" customFormat="false" ht="18.75" hidden="false" customHeight="true" outlineLevel="0" collapsed="false">
      <c r="A283" s="6" t="s">
        <v>312</v>
      </c>
      <c r="B283" s="7" t="s">
        <v>70</v>
      </c>
      <c r="C283" s="8" t="s">
        <v>36</v>
      </c>
      <c r="D283" s="8" t="s">
        <v>37</v>
      </c>
      <c r="E283" s="9" t="s">
        <v>22</v>
      </c>
      <c r="F283" s="10" t="n">
        <v>85.04</v>
      </c>
      <c r="G283" s="11" t="n">
        <v>80</v>
      </c>
      <c r="H283" s="8" t="s">
        <v>43</v>
      </c>
      <c r="I283" s="8" t="s">
        <v>34</v>
      </c>
      <c r="J283" s="12" t="n">
        <f aca="false">IF(E283="ENTRADA",F283-G283,G283-F283)</f>
        <v>-5.04000000000001</v>
      </c>
      <c r="K283" s="13" t="n">
        <f aca="false">IFERROR(IF(G283=0,0,J283/G283),0)</f>
        <v>-0.0630000000000001</v>
      </c>
      <c r="L283" s="14" t="n">
        <v>-0.558</v>
      </c>
      <c r="M283" s="15" t="s">
        <v>25</v>
      </c>
      <c r="N283" s="13" t="n">
        <f aca="false">IFERROR(IF(E283="ENTRADA",IF(G283=0,1,MIN(F283/G283,2)),IF(G283=0,1,MAX(1-ABS(J283)/G283,0))),0)</f>
        <v>0.937</v>
      </c>
      <c r="O283" s="16" t="n">
        <v>298</v>
      </c>
    </row>
    <row r="284" customFormat="false" ht="18.75" hidden="false" customHeight="true" outlineLevel="0" collapsed="false">
      <c r="A284" s="17" t="s">
        <v>313</v>
      </c>
      <c r="B284" s="18" t="s">
        <v>314</v>
      </c>
      <c r="C284" s="19" t="s">
        <v>46</v>
      </c>
      <c r="D284" s="19" t="s">
        <v>47</v>
      </c>
      <c r="E284" s="27" t="s">
        <v>48</v>
      </c>
      <c r="F284" s="21" t="n">
        <v>8959.82</v>
      </c>
      <c r="G284" s="11" t="n">
        <v>8500</v>
      </c>
      <c r="H284" s="19" t="s">
        <v>29</v>
      </c>
      <c r="I284" s="19" t="s">
        <v>34</v>
      </c>
      <c r="J284" s="22" t="n">
        <f aca="false">IF(E284="ENTRADA",F284-G284,G284-F284)</f>
        <v>459.82</v>
      </c>
      <c r="K284" s="23" t="n">
        <f aca="false">IFERROR(IF(G284=0,0,J284/G284),0)</f>
        <v>0.0540964705882353</v>
      </c>
      <c r="L284" s="24" t="n">
        <v>0</v>
      </c>
      <c r="M284" s="26" t="s">
        <v>49</v>
      </c>
      <c r="N284" s="23" t="n">
        <f aca="false">IFERROR(IF(E284="ENTRADA",IF(G284=0,1,MIN(F284/G284,2)),IF(G284=0,1,MAX(1-ABS(J284)/G284,0))),0)</f>
        <v>1.05409647058824</v>
      </c>
      <c r="O284" s="26" t="n">
        <v>274</v>
      </c>
    </row>
    <row r="285" customFormat="false" ht="18.75" hidden="false" customHeight="true" outlineLevel="0" collapsed="false">
      <c r="A285" s="6" t="s">
        <v>313</v>
      </c>
      <c r="B285" s="7" t="s">
        <v>144</v>
      </c>
      <c r="C285" s="8" t="s">
        <v>31</v>
      </c>
      <c r="D285" s="8" t="s">
        <v>96</v>
      </c>
      <c r="E285" s="9" t="s">
        <v>22</v>
      </c>
      <c r="F285" s="10" t="n">
        <v>47.25</v>
      </c>
      <c r="G285" s="11" t="n">
        <v>56</v>
      </c>
      <c r="H285" s="8" t="s">
        <v>43</v>
      </c>
      <c r="I285" s="8" t="s">
        <v>24</v>
      </c>
      <c r="J285" s="12" t="n">
        <f aca="false">IF(E285="ENTRADA",F285-G285,G285-F285)</f>
        <v>8.75</v>
      </c>
      <c r="K285" s="13" t="n">
        <f aca="false">IFERROR(IF(G285=0,0,J285/G285),0)</f>
        <v>0.15625</v>
      </c>
      <c r="L285" s="14" t="n">
        <v>-0.651</v>
      </c>
      <c r="M285" s="15" t="s">
        <v>25</v>
      </c>
      <c r="N285" s="13" t="n">
        <f aca="false">IFERROR(IF(E285="ENTRADA",IF(G285=0,1,MIN(F285/G285,2)),IF(G285=0,1,MAX(1-ABS(J285)/G285,0))),0)</f>
        <v>0.84375</v>
      </c>
      <c r="O285" s="16" t="n">
        <v>293</v>
      </c>
    </row>
    <row r="286" customFormat="false" ht="18.75" hidden="false" customHeight="true" outlineLevel="0" collapsed="false">
      <c r="A286" s="17" t="s">
        <v>315</v>
      </c>
      <c r="B286" s="18" t="s">
        <v>180</v>
      </c>
      <c r="C286" s="19" t="s">
        <v>85</v>
      </c>
      <c r="D286" s="19" t="s">
        <v>86</v>
      </c>
      <c r="E286" s="20" t="s">
        <v>22</v>
      </c>
      <c r="F286" s="21" t="n">
        <v>203.16</v>
      </c>
      <c r="G286" s="11" t="n">
        <v>625</v>
      </c>
      <c r="H286" s="19" t="s">
        <v>43</v>
      </c>
      <c r="I286" s="19" t="s">
        <v>34</v>
      </c>
      <c r="J286" s="22" t="n">
        <f aca="false">IF(E286="ENTRADA",F286-G286,G286-F286)</f>
        <v>421.84</v>
      </c>
      <c r="K286" s="23" t="n">
        <f aca="false">IFERROR(IF(G286=0,0,J286/G286),0)</f>
        <v>0.674944</v>
      </c>
      <c r="L286" s="24" t="n">
        <v>-0.269</v>
      </c>
      <c r="M286" s="25" t="s">
        <v>25</v>
      </c>
      <c r="N286" s="23" t="n">
        <f aca="false">IFERROR(IF(E286="ENTRADA",IF(G286=0,1,MIN(F286/G286,2)),IF(G286=0,1,MAX(1-ABS(J286)/G286,0))),0)</f>
        <v>0.325056</v>
      </c>
      <c r="O286" s="26" t="n">
        <v>302</v>
      </c>
    </row>
    <row r="287" customFormat="false" ht="18.75" hidden="false" customHeight="true" outlineLevel="0" collapsed="false">
      <c r="A287" s="6" t="s">
        <v>316</v>
      </c>
      <c r="B287" s="7" t="s">
        <v>88</v>
      </c>
      <c r="C287" s="8" t="s">
        <v>52</v>
      </c>
      <c r="D287" s="8" t="s">
        <v>89</v>
      </c>
      <c r="E287" s="9" t="s">
        <v>22</v>
      </c>
      <c r="F287" s="10" t="n">
        <v>209.59</v>
      </c>
      <c r="G287" s="11" t="n">
        <v>180</v>
      </c>
      <c r="H287" s="8" t="s">
        <v>43</v>
      </c>
      <c r="I287" s="8" t="s">
        <v>24</v>
      </c>
      <c r="J287" s="12" t="n">
        <f aca="false">IF(E287="ENTRADA",F287-G287,G287-F287)</f>
        <v>-29.59</v>
      </c>
      <c r="K287" s="13" t="n">
        <f aca="false">IFERROR(IF(G287=0,0,J287/G287),0)</f>
        <v>-0.164388888888889</v>
      </c>
      <c r="L287" s="14" t="n">
        <v>-0.253</v>
      </c>
      <c r="M287" s="15" t="s">
        <v>25</v>
      </c>
      <c r="N287" s="13" t="n">
        <f aca="false">IFERROR(IF(E287="ENTRADA",IF(G287=0,1,MIN(F287/G287,2)),IF(G287=0,1,MAX(1-ABS(J287)/G287,0))),0)</f>
        <v>0.835611111111111</v>
      </c>
      <c r="O287" s="16" t="n">
        <v>276</v>
      </c>
    </row>
    <row r="288" customFormat="false" ht="18.75" hidden="false" customHeight="true" outlineLevel="0" collapsed="false">
      <c r="A288" s="17" t="s">
        <v>317</v>
      </c>
      <c r="B288" s="18" t="s">
        <v>98</v>
      </c>
      <c r="C288" s="19" t="s">
        <v>20</v>
      </c>
      <c r="D288" s="19" t="s">
        <v>21</v>
      </c>
      <c r="E288" s="20" t="s">
        <v>22</v>
      </c>
      <c r="F288" s="21" t="n">
        <v>392.31</v>
      </c>
      <c r="G288" s="11" t="n">
        <v>350</v>
      </c>
      <c r="H288" s="19" t="s">
        <v>33</v>
      </c>
      <c r="I288" s="19" t="s">
        <v>24</v>
      </c>
      <c r="J288" s="22" t="n">
        <f aca="false">IF(E288="ENTRADA",F288-G288,G288-F288)</f>
        <v>-42.31</v>
      </c>
      <c r="K288" s="23" t="n">
        <f aca="false">IFERROR(IF(G288=0,0,J288/G288),0)</f>
        <v>-0.120885714285714</v>
      </c>
      <c r="L288" s="24" t="n">
        <v>0.194</v>
      </c>
      <c r="M288" s="25" t="s">
        <v>25</v>
      </c>
      <c r="N288" s="23" t="n">
        <f aca="false">IFERROR(IF(E288="ENTRADA",IF(G288=0,1,MIN(F288/G288,2)),IF(G288=0,1,MAX(1-ABS(J288)/G288,0))),0)</f>
        <v>0.879114285714286</v>
      </c>
      <c r="O288" s="26" t="n">
        <v>286</v>
      </c>
    </row>
    <row r="289" customFormat="false" ht="18.75" hidden="false" customHeight="true" outlineLevel="0" collapsed="false">
      <c r="A289" s="6" t="s">
        <v>318</v>
      </c>
      <c r="B289" s="7" t="s">
        <v>59</v>
      </c>
      <c r="C289" s="8" t="s">
        <v>31</v>
      </c>
      <c r="D289" s="8" t="s">
        <v>32</v>
      </c>
      <c r="E289" s="9" t="s">
        <v>22</v>
      </c>
      <c r="F289" s="10" t="n">
        <v>34.91</v>
      </c>
      <c r="G289" s="11" t="n">
        <v>56</v>
      </c>
      <c r="H289" s="8" t="s">
        <v>23</v>
      </c>
      <c r="I289" s="8" t="s">
        <v>34</v>
      </c>
      <c r="J289" s="12" t="n">
        <f aca="false">IF(E289="ENTRADA",F289-G289,G289-F289)</f>
        <v>21.09</v>
      </c>
      <c r="K289" s="13" t="n">
        <f aca="false">IFERROR(IF(G289=0,0,J289/G289),0)</f>
        <v>0.376607142857143</v>
      </c>
      <c r="L289" s="14" t="n">
        <v>-0.681</v>
      </c>
      <c r="M289" s="15" t="s">
        <v>25</v>
      </c>
      <c r="N289" s="13" t="n">
        <f aca="false">IFERROR(IF(E289="ENTRADA",IF(G289=0,1,MIN(F289/G289,2)),IF(G289=0,1,MAX(1-ABS(J289)/G289,0))),0)</f>
        <v>0.623392857142857</v>
      </c>
      <c r="O289" s="16" t="n">
        <v>292</v>
      </c>
    </row>
    <row r="290" customFormat="false" ht="18.75" hidden="false" customHeight="true" outlineLevel="0" collapsed="false">
      <c r="A290" s="17" t="s">
        <v>318</v>
      </c>
      <c r="B290" s="18" t="s">
        <v>35</v>
      </c>
      <c r="C290" s="19" t="s">
        <v>36</v>
      </c>
      <c r="D290" s="19" t="s">
        <v>115</v>
      </c>
      <c r="E290" s="20" t="s">
        <v>22</v>
      </c>
      <c r="F290" s="21" t="n">
        <v>115.81</v>
      </c>
      <c r="G290" s="11" t="n">
        <v>80</v>
      </c>
      <c r="H290" s="19" t="s">
        <v>23</v>
      </c>
      <c r="I290" s="19" t="s">
        <v>34</v>
      </c>
      <c r="J290" s="22" t="n">
        <f aca="false">IF(E290="ENTRADA",F290-G290,G290-F290)</f>
        <v>-35.81</v>
      </c>
      <c r="K290" s="23" t="n">
        <f aca="false">IFERROR(IF(G290=0,0,J290/G290),0)</f>
        <v>-0.447625</v>
      </c>
      <c r="L290" s="24" t="n">
        <v>-0.483</v>
      </c>
      <c r="M290" s="25" t="s">
        <v>25</v>
      </c>
      <c r="N290" s="23" t="n">
        <f aca="false">IFERROR(IF(E290="ENTRADA",IF(G290=0,1,MIN(F290/G290,2)),IF(G290=0,1,MAX(1-ABS(J290)/G290,0))),0)</f>
        <v>0.552375</v>
      </c>
      <c r="O290" s="26" t="n">
        <v>294</v>
      </c>
    </row>
    <row r="291" customFormat="false" ht="18.75" hidden="false" customHeight="true" outlineLevel="0" collapsed="false">
      <c r="A291" s="6" t="s">
        <v>318</v>
      </c>
      <c r="B291" s="7" t="s">
        <v>35</v>
      </c>
      <c r="C291" s="8" t="s">
        <v>36</v>
      </c>
      <c r="D291" s="8" t="s">
        <v>71</v>
      </c>
      <c r="E291" s="9" t="s">
        <v>22</v>
      </c>
      <c r="F291" s="10" t="n">
        <v>54.13</v>
      </c>
      <c r="G291" s="11" t="n">
        <v>80</v>
      </c>
      <c r="H291" s="8" t="s">
        <v>38</v>
      </c>
      <c r="I291" s="8" t="s">
        <v>24</v>
      </c>
      <c r="J291" s="12" t="n">
        <f aca="false">IF(E291="ENTRADA",F291-G291,G291-F291)</f>
        <v>25.87</v>
      </c>
      <c r="K291" s="13" t="n">
        <f aca="false">IFERROR(IF(G291=0,0,J291/G291),0)</f>
        <v>0.323375</v>
      </c>
      <c r="L291" s="14" t="n">
        <v>-0.634</v>
      </c>
      <c r="M291" s="15" t="s">
        <v>25</v>
      </c>
      <c r="N291" s="13" t="n">
        <f aca="false">IFERROR(IF(E291="ENTRADA",IF(G291=0,1,MIN(F291/G291,2)),IF(G291=0,1,MAX(1-ABS(J291)/G291,0))),0)</f>
        <v>0.676625</v>
      </c>
      <c r="O291" s="16" t="n">
        <v>297</v>
      </c>
    </row>
    <row r="292" customFormat="false" ht="18.75" hidden="false" customHeight="true" outlineLevel="0" collapsed="false">
      <c r="A292" s="17" t="s">
        <v>318</v>
      </c>
      <c r="B292" s="18" t="s">
        <v>101</v>
      </c>
      <c r="C292" s="19" t="s">
        <v>85</v>
      </c>
      <c r="D292" s="19" t="s">
        <v>102</v>
      </c>
      <c r="E292" s="20" t="s">
        <v>22</v>
      </c>
      <c r="F292" s="21" t="n">
        <v>565.87</v>
      </c>
      <c r="G292" s="11" t="n">
        <v>625</v>
      </c>
      <c r="H292" s="19" t="s">
        <v>23</v>
      </c>
      <c r="I292" s="19" t="s">
        <v>34</v>
      </c>
      <c r="J292" s="22" t="n">
        <f aca="false">IF(E292="ENTRADA",F292-G292,G292-F292)</f>
        <v>59.13</v>
      </c>
      <c r="K292" s="23" t="n">
        <f aca="false">IFERROR(IF(G292=0,0,J292/G292),0)</f>
        <v>0.094608</v>
      </c>
      <c r="L292" s="24" t="n">
        <v>0.619</v>
      </c>
      <c r="M292" s="25" t="s">
        <v>25</v>
      </c>
      <c r="N292" s="23" t="n">
        <f aca="false">IFERROR(IF(E292="ENTRADA",IF(G292=0,1,MIN(F292/G292,2)),IF(G292=0,1,MAX(1-ABS(J292)/G292,0))),0)</f>
        <v>0.905392</v>
      </c>
      <c r="O292" s="26" t="n">
        <v>300</v>
      </c>
    </row>
    <row r="293" customFormat="false" ht="18.75" hidden="false" customHeight="true" outlineLevel="0" collapsed="false">
      <c r="A293" s="6" t="s">
        <v>318</v>
      </c>
      <c r="B293" s="7" t="s">
        <v>174</v>
      </c>
      <c r="C293" s="8" t="s">
        <v>76</v>
      </c>
      <c r="D293" s="8" t="s">
        <v>151</v>
      </c>
      <c r="E293" s="9" t="s">
        <v>22</v>
      </c>
      <c r="F293" s="10" t="n">
        <v>76.94</v>
      </c>
      <c r="G293" s="11" t="n">
        <v>100</v>
      </c>
      <c r="H293" s="8" t="s">
        <v>33</v>
      </c>
      <c r="I293" s="8" t="s">
        <v>24</v>
      </c>
      <c r="J293" s="12" t="n">
        <f aca="false">IF(E293="ENTRADA",F293-G293,G293-F293)</f>
        <v>23.06</v>
      </c>
      <c r="K293" s="13" t="n">
        <f aca="false">IFERROR(IF(G293=0,0,J293/G293),0)</f>
        <v>0.2306</v>
      </c>
      <c r="L293" s="14" t="n">
        <v>-0.578</v>
      </c>
      <c r="M293" s="15" t="s">
        <v>25</v>
      </c>
      <c r="N293" s="13" t="n">
        <f aca="false">IFERROR(IF(E293="ENTRADA",IF(G293=0,1,MIN(F293/G293,2)),IF(G293=0,1,MAX(1-ABS(J293)/G293,0))),0)</f>
        <v>0.7694</v>
      </c>
      <c r="O293" s="16" t="n">
        <v>305</v>
      </c>
    </row>
    <row r="294" customFormat="false" ht="18.75" hidden="false" customHeight="true" outlineLevel="0" collapsed="false">
      <c r="A294" s="17" t="s">
        <v>319</v>
      </c>
      <c r="B294" s="18" t="s">
        <v>92</v>
      </c>
      <c r="C294" s="19" t="s">
        <v>85</v>
      </c>
      <c r="D294" s="19" t="s">
        <v>102</v>
      </c>
      <c r="E294" s="20" t="s">
        <v>22</v>
      </c>
      <c r="F294" s="21" t="n">
        <v>647.63</v>
      </c>
      <c r="G294" s="11" t="n">
        <v>625</v>
      </c>
      <c r="H294" s="19" t="s">
        <v>38</v>
      </c>
      <c r="I294" s="19" t="s">
        <v>34</v>
      </c>
      <c r="J294" s="22" t="n">
        <f aca="false">IF(E294="ENTRADA",F294-G294,G294-F294)</f>
        <v>-22.63</v>
      </c>
      <c r="K294" s="23" t="n">
        <f aca="false">IFERROR(IF(G294=0,0,J294/G294),0)</f>
        <v>-0.036208</v>
      </c>
      <c r="L294" s="24" t="n">
        <v>0.819</v>
      </c>
      <c r="M294" s="25" t="s">
        <v>25</v>
      </c>
      <c r="N294" s="23" t="n">
        <f aca="false">IFERROR(IF(E294="ENTRADA",IF(G294=0,1,MIN(F294/G294,2)),IF(G294=0,1,MAX(1-ABS(J294)/G294,0))),0)</f>
        <v>0.963792</v>
      </c>
      <c r="O294" s="26" t="n">
        <v>299</v>
      </c>
    </row>
    <row r="295" customFormat="false" ht="18.75" hidden="false" customHeight="true" outlineLevel="0" collapsed="false">
      <c r="A295" s="6" t="s">
        <v>319</v>
      </c>
      <c r="B295" s="7" t="s">
        <v>214</v>
      </c>
      <c r="C295" s="8" t="s">
        <v>76</v>
      </c>
      <c r="D295" s="8" t="s">
        <v>175</v>
      </c>
      <c r="E295" s="9" t="s">
        <v>22</v>
      </c>
      <c r="F295" s="10" t="n">
        <v>202.26</v>
      </c>
      <c r="G295" s="11" t="n">
        <v>100</v>
      </c>
      <c r="H295" s="8" t="s">
        <v>23</v>
      </c>
      <c r="I295" s="8" t="s">
        <v>34</v>
      </c>
      <c r="J295" s="12" t="n">
        <f aca="false">IF(E295="ENTRADA",F295-G295,G295-F295)</f>
        <v>-102.26</v>
      </c>
      <c r="K295" s="13" t="n">
        <f aca="false">IFERROR(IF(G295=0,0,J295/G295),0)</f>
        <v>-1.0226</v>
      </c>
      <c r="L295" s="14" t="n">
        <v>-0.271</v>
      </c>
      <c r="M295" s="15" t="s">
        <v>25</v>
      </c>
      <c r="N295" s="13" t="n">
        <f aca="false">IFERROR(IF(E295="ENTRADA",IF(G295=0,1,MIN(F295/G295,2)),IF(G295=0,1,MAX(1-ABS(J295)/G295,0))),0)</f>
        <v>0</v>
      </c>
      <c r="O295" s="16" t="n">
        <v>304</v>
      </c>
    </row>
    <row r="296" customFormat="false" ht="18.75" hidden="false" customHeight="true" outlineLevel="0" collapsed="false">
      <c r="A296" s="17" t="s">
        <v>320</v>
      </c>
      <c r="B296" s="18" t="s">
        <v>64</v>
      </c>
      <c r="C296" s="19" t="s">
        <v>41</v>
      </c>
      <c r="D296" s="19" t="s">
        <v>42</v>
      </c>
      <c r="E296" s="20" t="s">
        <v>22</v>
      </c>
      <c r="F296" s="21" t="n">
        <v>579.03</v>
      </c>
      <c r="G296" s="11" t="n">
        <v>470</v>
      </c>
      <c r="H296" s="19" t="s">
        <v>33</v>
      </c>
      <c r="I296" s="19" t="s">
        <v>34</v>
      </c>
      <c r="J296" s="22" t="n">
        <f aca="false">IF(E296="ENTRADA",F296-G296,G296-F296)</f>
        <v>-109.03</v>
      </c>
      <c r="K296" s="23" t="n">
        <f aca="false">IFERROR(IF(G296=0,0,J296/G296),0)</f>
        <v>-0.231978723404255</v>
      </c>
      <c r="L296" s="24" t="n">
        <v>0.651</v>
      </c>
      <c r="M296" s="25" t="s">
        <v>25</v>
      </c>
      <c r="N296" s="23" t="n">
        <f aca="false">IFERROR(IF(E296="ENTRADA",IF(G296=0,1,MIN(F296/G296,2)),IF(G296=0,1,MAX(1-ABS(J296)/G296,0))),0)</f>
        <v>0.768021276595745</v>
      </c>
      <c r="O296" s="26" t="n">
        <v>284</v>
      </c>
    </row>
    <row r="297" customFormat="false" ht="18.75" hidden="false" customHeight="true" outlineLevel="0" collapsed="false">
      <c r="A297" s="6" t="s">
        <v>320</v>
      </c>
      <c r="B297" s="7" t="s">
        <v>174</v>
      </c>
      <c r="C297" s="8" t="s">
        <v>76</v>
      </c>
      <c r="D297" s="8" t="s">
        <v>77</v>
      </c>
      <c r="E297" s="9" t="s">
        <v>22</v>
      </c>
      <c r="F297" s="10" t="n">
        <v>142.42</v>
      </c>
      <c r="G297" s="11" t="n">
        <v>100</v>
      </c>
      <c r="H297" s="8" t="s">
        <v>23</v>
      </c>
      <c r="I297" s="8" t="s">
        <v>24</v>
      </c>
      <c r="J297" s="12" t="n">
        <f aca="false">IF(E297="ENTRADA",F297-G297,G297-F297)</f>
        <v>-42.42</v>
      </c>
      <c r="K297" s="13" t="n">
        <f aca="false">IFERROR(IF(G297=0,0,J297/G297),0)</f>
        <v>-0.4242</v>
      </c>
      <c r="L297" s="14" t="n">
        <v>-0.418</v>
      </c>
      <c r="M297" s="15" t="s">
        <v>25</v>
      </c>
      <c r="N297" s="13" t="n">
        <f aca="false">IFERROR(IF(E297="ENTRADA",IF(G297=0,1,MIN(F297/G297,2)),IF(G297=0,1,MAX(1-ABS(J297)/G297,0))),0)</f>
        <v>0.5758</v>
      </c>
      <c r="O297" s="16" t="n">
        <v>303</v>
      </c>
    </row>
    <row r="298" customFormat="false" ht="18.75" hidden="false" customHeight="true" outlineLevel="0" collapsed="false">
      <c r="A298" s="17" t="s">
        <v>321</v>
      </c>
      <c r="B298" s="18" t="s">
        <v>199</v>
      </c>
      <c r="C298" s="19" t="s">
        <v>41</v>
      </c>
      <c r="D298" s="19" t="s">
        <v>42</v>
      </c>
      <c r="E298" s="20" t="s">
        <v>22</v>
      </c>
      <c r="F298" s="21" t="n">
        <v>452.94</v>
      </c>
      <c r="G298" s="11" t="n">
        <v>470</v>
      </c>
      <c r="H298" s="19" t="s">
        <v>23</v>
      </c>
      <c r="I298" s="19" t="s">
        <v>34</v>
      </c>
      <c r="J298" s="22" t="n">
        <f aca="false">IF(E298="ENTRADA",F298-G298,G298-F298)</f>
        <v>17.06</v>
      </c>
      <c r="K298" s="23" t="n">
        <f aca="false">IFERROR(IF(G298=0,0,J298/G298),0)</f>
        <v>0.0362978723404255</v>
      </c>
      <c r="L298" s="24" t="n">
        <v>0.343</v>
      </c>
      <c r="M298" s="25" t="s">
        <v>25</v>
      </c>
      <c r="N298" s="23" t="n">
        <f aca="false">IFERROR(IF(E298="ENTRADA",IF(G298=0,1,MIN(F298/G298,2)),IF(G298=0,1,MAX(1-ABS(J298)/G298,0))),0)</f>
        <v>0.963702127659574</v>
      </c>
      <c r="O298" s="26" t="n">
        <v>281</v>
      </c>
    </row>
    <row r="299" customFormat="false" ht="18.75" hidden="false" customHeight="true" outlineLevel="0" collapsed="false">
      <c r="A299" s="6" t="s">
        <v>322</v>
      </c>
      <c r="B299" s="7" t="s">
        <v>67</v>
      </c>
      <c r="C299" s="8" t="s">
        <v>46</v>
      </c>
      <c r="D299" s="8" t="s">
        <v>68</v>
      </c>
      <c r="E299" s="28" t="s">
        <v>48</v>
      </c>
      <c r="F299" s="10" t="n">
        <v>1156.5</v>
      </c>
      <c r="G299" s="10" t="n">
        <v>0</v>
      </c>
      <c r="H299" s="8" t="s">
        <v>43</v>
      </c>
      <c r="I299" s="8" t="s">
        <v>24</v>
      </c>
      <c r="J299" s="12" t="n">
        <f aca="false">IF(E299="ENTRADA",F299-G299,G299-F299)</f>
        <v>1156.5</v>
      </c>
      <c r="K299" s="13" t="n">
        <f aca="false">IFERROR(IF(G299=0,0,J299/G299),0)</f>
        <v>0</v>
      </c>
      <c r="L299" s="14" t="n">
        <v>0</v>
      </c>
      <c r="M299" s="16" t="s">
        <v>49</v>
      </c>
      <c r="N299" s="13" t="n">
        <f aca="false">IFERROR(IF(E299="ENTRADA",IF(G299=0,1,MIN(F299/G299,2)),IF(G299=0,1,MAX(1-ABS(J299)/G299,0))),0)</f>
        <v>1</v>
      </c>
      <c r="O299" s="16" t="n">
        <v>275</v>
      </c>
    </row>
    <row r="300" customFormat="false" ht="18.75" hidden="false" customHeight="true" outlineLevel="0" collapsed="false">
      <c r="A300" s="17" t="s">
        <v>322</v>
      </c>
      <c r="B300" s="18" t="s">
        <v>51</v>
      </c>
      <c r="C300" s="19" t="s">
        <v>52</v>
      </c>
      <c r="D300" s="19" t="s">
        <v>89</v>
      </c>
      <c r="E300" s="20" t="s">
        <v>22</v>
      </c>
      <c r="F300" s="21" t="n">
        <v>174.3</v>
      </c>
      <c r="G300" s="11" t="n">
        <v>180</v>
      </c>
      <c r="H300" s="19" t="s">
        <v>38</v>
      </c>
      <c r="I300" s="19" t="s">
        <v>24</v>
      </c>
      <c r="J300" s="22" t="n">
        <f aca="false">IF(E300="ENTRADA",F300-G300,G300-F300)</f>
        <v>5.69999999999999</v>
      </c>
      <c r="K300" s="23" t="n">
        <f aca="false">IFERROR(IF(G300=0,0,J300/G300),0)</f>
        <v>0.0316666666666666</v>
      </c>
      <c r="L300" s="24" t="n">
        <v>-0.34</v>
      </c>
      <c r="M300" s="25" t="s">
        <v>25</v>
      </c>
      <c r="N300" s="23" t="n">
        <f aca="false">IFERROR(IF(E300="ENTRADA",IF(G300=0,1,MIN(F300/G300,2)),IF(G300=0,1,MAX(1-ABS(J300)/G300,0))),0)</f>
        <v>0.968333333333333</v>
      </c>
      <c r="O300" s="26" t="n">
        <v>279</v>
      </c>
    </row>
    <row r="301" customFormat="false" ht="18.75" hidden="false" customHeight="true" outlineLevel="0" collapsed="false">
      <c r="A301" s="6" t="s">
        <v>322</v>
      </c>
      <c r="B301" s="7" t="s">
        <v>131</v>
      </c>
      <c r="C301" s="8" t="s">
        <v>52</v>
      </c>
      <c r="D301" s="8" t="s">
        <v>53</v>
      </c>
      <c r="E301" s="9" t="s">
        <v>22</v>
      </c>
      <c r="F301" s="10" t="n">
        <v>178.73</v>
      </c>
      <c r="G301" s="11" t="n">
        <v>180</v>
      </c>
      <c r="H301" s="8" t="s">
        <v>33</v>
      </c>
      <c r="I301" s="8" t="s">
        <v>24</v>
      </c>
      <c r="J301" s="12" t="n">
        <f aca="false">IF(E301="ENTRADA",F301-G301,G301-F301)</f>
        <v>1.27000000000001</v>
      </c>
      <c r="K301" s="13" t="n">
        <f aca="false">IFERROR(IF(G301=0,0,J301/G301),0)</f>
        <v>0.00705555555555561</v>
      </c>
      <c r="L301" s="14" t="n">
        <v>-0.329</v>
      </c>
      <c r="M301" s="15" t="s">
        <v>25</v>
      </c>
      <c r="N301" s="13" t="n">
        <f aca="false">IFERROR(IF(E301="ENTRADA",IF(G301=0,1,MIN(F301/G301,2)),IF(G301=0,1,MAX(1-ABS(J301)/G301,0))),0)</f>
        <v>0.992944444444444</v>
      </c>
      <c r="O301" s="16" t="n">
        <v>280</v>
      </c>
    </row>
    <row r="302" customFormat="false" ht="18.75" hidden="false" customHeight="true" outlineLevel="0" collapsed="false">
      <c r="A302" s="17" t="s">
        <v>322</v>
      </c>
      <c r="B302" s="18" t="s">
        <v>113</v>
      </c>
      <c r="C302" s="19" t="s">
        <v>41</v>
      </c>
      <c r="D302" s="19" t="s">
        <v>114</v>
      </c>
      <c r="E302" s="20" t="s">
        <v>22</v>
      </c>
      <c r="F302" s="21" t="n">
        <v>516.81</v>
      </c>
      <c r="G302" s="11" t="n">
        <v>470</v>
      </c>
      <c r="H302" s="19" t="s">
        <v>43</v>
      </c>
      <c r="I302" s="19" t="s">
        <v>34</v>
      </c>
      <c r="J302" s="22" t="n">
        <f aca="false">IF(E302="ENTRADA",F302-G302,G302-F302)</f>
        <v>-46.8099999999999</v>
      </c>
      <c r="K302" s="23" t="n">
        <f aca="false">IFERROR(IF(G302=0,0,J302/G302),0)</f>
        <v>-0.099595744680851</v>
      </c>
      <c r="L302" s="24" t="n">
        <v>0.499</v>
      </c>
      <c r="M302" s="25" t="s">
        <v>25</v>
      </c>
      <c r="N302" s="23" t="n">
        <f aca="false">IFERROR(IF(E302="ENTRADA",IF(G302=0,1,MIN(F302/G302,2)),IF(G302=0,1,MAX(1-ABS(J302)/G302,0))),0)</f>
        <v>0.900404255319149</v>
      </c>
      <c r="O302" s="26" t="n">
        <v>282</v>
      </c>
    </row>
    <row r="303" customFormat="false" ht="18.75" hidden="false" customHeight="true" outlineLevel="0" collapsed="false">
      <c r="A303" s="6" t="s">
        <v>322</v>
      </c>
      <c r="B303" s="7" t="s">
        <v>84</v>
      </c>
      <c r="C303" s="8" t="s">
        <v>85</v>
      </c>
      <c r="D303" s="8" t="s">
        <v>86</v>
      </c>
      <c r="E303" s="9" t="s">
        <v>22</v>
      </c>
      <c r="F303" s="10" t="n">
        <v>359.15</v>
      </c>
      <c r="G303" s="11" t="n">
        <v>625</v>
      </c>
      <c r="H303" s="8" t="s">
        <v>38</v>
      </c>
      <c r="I303" s="8" t="s">
        <v>34</v>
      </c>
      <c r="J303" s="12" t="n">
        <f aca="false">IF(E303="ENTRADA",F303-G303,G303-F303)</f>
        <v>265.85</v>
      </c>
      <c r="K303" s="13" t="n">
        <f aca="false">IFERROR(IF(G303=0,0,J303/G303),0)</f>
        <v>0.42536</v>
      </c>
      <c r="L303" s="14" t="n">
        <v>0.113</v>
      </c>
      <c r="M303" s="15" t="s">
        <v>25</v>
      </c>
      <c r="N303" s="13" t="n">
        <f aca="false">IFERROR(IF(E303="ENTRADA",IF(G303=0,1,MIN(F303/G303,2)),IF(G303=0,1,MAX(1-ABS(J303)/G303,0))),0)</f>
        <v>0.57464</v>
      </c>
      <c r="O303" s="16" t="n">
        <v>301</v>
      </c>
    </row>
    <row r="304" customFormat="false" ht="18.75" hidden="false" customHeight="true" outlineLevel="0" collapsed="false">
      <c r="A304" s="17" t="s">
        <v>323</v>
      </c>
      <c r="B304" s="18" t="s">
        <v>138</v>
      </c>
      <c r="C304" s="19" t="s">
        <v>27</v>
      </c>
      <c r="D304" s="19" t="s">
        <v>28</v>
      </c>
      <c r="E304" s="20" t="s">
        <v>22</v>
      </c>
      <c r="F304" s="21" t="n">
        <v>561.29</v>
      </c>
      <c r="G304" s="11" t="n">
        <v>360</v>
      </c>
      <c r="H304" s="19" t="s">
        <v>43</v>
      </c>
      <c r="I304" s="19" t="s">
        <v>34</v>
      </c>
      <c r="J304" s="22" t="n">
        <f aca="false">IF(E304="ENTRADA",F304-G304,G304-F304)</f>
        <v>-201.29</v>
      </c>
      <c r="K304" s="23" t="n">
        <f aca="false">IFERROR(IF(G304=0,0,J304/G304),0)</f>
        <v>-0.559138888888889</v>
      </c>
      <c r="L304" s="24" t="n">
        <v>0.608</v>
      </c>
      <c r="M304" s="25" t="s">
        <v>25</v>
      </c>
      <c r="N304" s="23" t="n">
        <f aca="false">IFERROR(IF(E304="ENTRADA",IF(G304=0,1,MIN(F304/G304,2)),IF(G304=0,1,MAX(1-ABS(J304)/G304,0))),0)</f>
        <v>0.440861111111111</v>
      </c>
      <c r="O304" s="26" t="n">
        <v>287</v>
      </c>
    </row>
    <row r="305" customFormat="false" ht="18.75" hidden="false" customHeight="true" outlineLevel="0" collapsed="false">
      <c r="A305" s="6" t="s">
        <v>323</v>
      </c>
      <c r="B305" s="7" t="s">
        <v>59</v>
      </c>
      <c r="C305" s="8" t="s">
        <v>31</v>
      </c>
      <c r="D305" s="8" t="s">
        <v>189</v>
      </c>
      <c r="E305" s="9" t="s">
        <v>22</v>
      </c>
      <c r="F305" s="10" t="n">
        <v>16.4</v>
      </c>
      <c r="G305" s="11" t="n">
        <v>56</v>
      </c>
      <c r="H305" s="8" t="s">
        <v>33</v>
      </c>
      <c r="I305" s="8" t="s">
        <v>24</v>
      </c>
      <c r="J305" s="12" t="n">
        <f aca="false">IF(E305="ENTRADA",F305-G305,G305-F305)</f>
        <v>39.6</v>
      </c>
      <c r="K305" s="13" t="n">
        <f aca="false">IFERROR(IF(G305=0,0,J305/G305),0)</f>
        <v>0.707142857142857</v>
      </c>
      <c r="L305" s="14" t="n">
        <v>-0.726</v>
      </c>
      <c r="M305" s="15" t="s">
        <v>25</v>
      </c>
      <c r="N305" s="13" t="n">
        <f aca="false">IFERROR(IF(E305="ENTRADA",IF(G305=0,1,MIN(F305/G305,2)),IF(G305=0,1,MAX(1-ABS(J305)/G305,0))),0)</f>
        <v>0.292857142857143</v>
      </c>
      <c r="O305" s="16" t="n">
        <v>290</v>
      </c>
    </row>
    <row r="306" customFormat="false" ht="18.75" hidden="false" customHeight="true" outlineLevel="0" collapsed="false">
      <c r="A306" s="17" t="s">
        <v>324</v>
      </c>
      <c r="B306" s="18" t="s">
        <v>88</v>
      </c>
      <c r="C306" s="19" t="s">
        <v>52</v>
      </c>
      <c r="D306" s="19" t="s">
        <v>89</v>
      </c>
      <c r="E306" s="20" t="s">
        <v>22</v>
      </c>
      <c r="F306" s="21" t="n">
        <v>185.31</v>
      </c>
      <c r="G306" s="11" t="n">
        <v>180</v>
      </c>
      <c r="H306" s="19" t="s">
        <v>43</v>
      </c>
      <c r="I306" s="19" t="s">
        <v>24</v>
      </c>
      <c r="J306" s="22" t="n">
        <f aca="false">IF(E306="ENTRADA",F306-G306,G306-F306)</f>
        <v>-5.31</v>
      </c>
      <c r="K306" s="23" t="n">
        <f aca="false">IFERROR(IF(G306=0,0,J306/G306),0)</f>
        <v>-0.0295</v>
      </c>
      <c r="L306" s="24" t="n">
        <v>-0.313</v>
      </c>
      <c r="M306" s="25" t="s">
        <v>25</v>
      </c>
      <c r="N306" s="23" t="n">
        <f aca="false">IFERROR(IF(E306="ENTRADA",IF(G306=0,1,MIN(F306/G306,2)),IF(G306=0,1,MAX(1-ABS(J306)/G306,0))),0)</f>
        <v>0.9705</v>
      </c>
      <c r="O306" s="26" t="n">
        <v>278</v>
      </c>
    </row>
    <row r="307" customFormat="false" ht="18.75" hidden="false" customHeight="true" outlineLevel="0" collapsed="false">
      <c r="A307" s="6" t="s">
        <v>325</v>
      </c>
      <c r="B307" s="7" t="s">
        <v>73</v>
      </c>
      <c r="C307" s="8" t="s">
        <v>36</v>
      </c>
      <c r="D307" s="8" t="s">
        <v>37</v>
      </c>
      <c r="E307" s="9" t="s">
        <v>22</v>
      </c>
      <c r="F307" s="10" t="n">
        <v>95.23</v>
      </c>
      <c r="G307" s="11" t="n">
        <v>80</v>
      </c>
      <c r="H307" s="8" t="s">
        <v>23</v>
      </c>
      <c r="I307" s="8" t="s">
        <v>24</v>
      </c>
      <c r="J307" s="12" t="n">
        <f aca="false">IF(E307="ENTRADA",F307-G307,G307-F307)</f>
        <v>-15.23</v>
      </c>
      <c r="K307" s="13" t="n">
        <f aca="false">IFERROR(IF(G307=0,0,J307/G307),0)</f>
        <v>-0.190375</v>
      </c>
      <c r="L307" s="14" t="n">
        <v>-0.533</v>
      </c>
      <c r="M307" s="15" t="s">
        <v>25</v>
      </c>
      <c r="N307" s="13" t="n">
        <f aca="false">IFERROR(IF(E307="ENTRADA",IF(G307=0,1,MIN(F307/G307,2)),IF(G307=0,1,MAX(1-ABS(J307)/G307,0))),0)</f>
        <v>0.809625</v>
      </c>
      <c r="O307" s="16" t="n">
        <v>295</v>
      </c>
    </row>
    <row r="308" customFormat="false" ht="18.75" hidden="false" customHeight="true" outlineLevel="0" collapsed="false">
      <c r="A308" s="17" t="s">
        <v>326</v>
      </c>
      <c r="B308" s="18" t="s">
        <v>113</v>
      </c>
      <c r="C308" s="19" t="s">
        <v>41</v>
      </c>
      <c r="D308" s="19" t="s">
        <v>42</v>
      </c>
      <c r="E308" s="20" t="s">
        <v>22</v>
      </c>
      <c r="F308" s="21" t="n">
        <v>740.07</v>
      </c>
      <c r="G308" s="11" t="n">
        <v>470</v>
      </c>
      <c r="H308" s="19" t="s">
        <v>29</v>
      </c>
      <c r="I308" s="19" t="s">
        <v>34</v>
      </c>
      <c r="J308" s="22" t="n">
        <f aca="false">IF(E308="ENTRADA",F308-G308,G308-F308)</f>
        <v>-270.07</v>
      </c>
      <c r="K308" s="23" t="n">
        <f aca="false">IFERROR(IF(G308=0,0,J308/G308),0)</f>
        <v>-0.574617021276596</v>
      </c>
      <c r="L308" s="24" t="n">
        <v>1.046</v>
      </c>
      <c r="M308" s="25" t="s">
        <v>25</v>
      </c>
      <c r="N308" s="23" t="n">
        <f aca="false">IFERROR(IF(E308="ENTRADA",IF(G308=0,1,MIN(F308/G308,2)),IF(G308=0,1,MAX(1-ABS(J308)/G308,0))),0)</f>
        <v>0.425382978723404</v>
      </c>
      <c r="O308" s="26" t="n">
        <v>285</v>
      </c>
    </row>
    <row r="309" customFormat="false" ht="18.75" hidden="false" customHeight="true" outlineLevel="0" collapsed="false">
      <c r="A309" s="6" t="s">
        <v>327</v>
      </c>
      <c r="B309" s="7" t="s">
        <v>88</v>
      </c>
      <c r="C309" s="8" t="s">
        <v>52</v>
      </c>
      <c r="D309" s="8" t="s">
        <v>136</v>
      </c>
      <c r="E309" s="9" t="s">
        <v>22</v>
      </c>
      <c r="F309" s="10" t="n">
        <v>152.74</v>
      </c>
      <c r="G309" s="11" t="n">
        <v>180</v>
      </c>
      <c r="H309" s="8" t="s">
        <v>43</v>
      </c>
      <c r="I309" s="8" t="s">
        <v>24</v>
      </c>
      <c r="J309" s="12" t="n">
        <f aca="false">IF(E309="ENTRADA",F309-G309,G309-F309)</f>
        <v>27.26</v>
      </c>
      <c r="K309" s="13" t="n">
        <f aca="false">IFERROR(IF(G309=0,0,J309/G309),0)</f>
        <v>0.151444444444444</v>
      </c>
      <c r="L309" s="14" t="n">
        <v>-0.392</v>
      </c>
      <c r="M309" s="15" t="s">
        <v>25</v>
      </c>
      <c r="N309" s="13" t="n">
        <f aca="false">IFERROR(IF(E309="ENTRADA",IF(G309=0,1,MIN(F309/G309,2)),IF(G309=0,1,MAX(1-ABS(J309)/G309,0))),0)</f>
        <v>0.848555555555556</v>
      </c>
      <c r="O309" s="16" t="n">
        <v>277</v>
      </c>
    </row>
    <row r="310" customFormat="false" ht="18.75" hidden="false" customHeight="true" outlineLevel="0" collapsed="false">
      <c r="A310" s="17" t="s">
        <v>327</v>
      </c>
      <c r="B310" s="18" t="s">
        <v>54</v>
      </c>
      <c r="C310" s="19" t="s">
        <v>41</v>
      </c>
      <c r="D310" s="19" t="s">
        <v>65</v>
      </c>
      <c r="E310" s="20" t="s">
        <v>22</v>
      </c>
      <c r="F310" s="21" t="n">
        <v>645.38</v>
      </c>
      <c r="G310" s="11" t="n">
        <v>470</v>
      </c>
      <c r="H310" s="19" t="s">
        <v>29</v>
      </c>
      <c r="I310" s="19" t="s">
        <v>34</v>
      </c>
      <c r="J310" s="22" t="n">
        <f aca="false">IF(E310="ENTRADA",F310-G310,G310-F310)</f>
        <v>-175.38</v>
      </c>
      <c r="K310" s="23" t="n">
        <f aca="false">IFERROR(IF(G310=0,0,J310/G310),0)</f>
        <v>-0.373148936170213</v>
      </c>
      <c r="L310" s="24" t="n">
        <v>0.814</v>
      </c>
      <c r="M310" s="25" t="s">
        <v>25</v>
      </c>
      <c r="N310" s="23" t="n">
        <f aca="false">IFERROR(IF(E310="ENTRADA",IF(G310=0,1,MIN(F310/G310,2)),IF(G310=0,1,MAX(1-ABS(J310)/G310,0))),0)</f>
        <v>0.626851063829787</v>
      </c>
      <c r="O310" s="26" t="n">
        <v>283</v>
      </c>
    </row>
    <row r="311" customFormat="false" ht="18.75" hidden="false" customHeight="true" outlineLevel="0" collapsed="false">
      <c r="A311" s="6" t="s">
        <v>327</v>
      </c>
      <c r="B311" s="7" t="s">
        <v>59</v>
      </c>
      <c r="C311" s="8" t="s">
        <v>31</v>
      </c>
      <c r="D311" s="8" t="s">
        <v>60</v>
      </c>
      <c r="E311" s="9" t="s">
        <v>22</v>
      </c>
      <c r="F311" s="10" t="n">
        <v>38.08</v>
      </c>
      <c r="G311" s="11" t="n">
        <v>56</v>
      </c>
      <c r="H311" s="8" t="s">
        <v>23</v>
      </c>
      <c r="I311" s="8" t="s">
        <v>24</v>
      </c>
      <c r="J311" s="12" t="n">
        <f aca="false">IF(E311="ENTRADA",F311-G311,G311-F311)</f>
        <v>17.92</v>
      </c>
      <c r="K311" s="13" t="n">
        <f aca="false">IFERROR(IF(G311=0,0,J311/G311),0)</f>
        <v>0.32</v>
      </c>
      <c r="L311" s="14" t="n">
        <v>-0.673</v>
      </c>
      <c r="M311" s="15" t="s">
        <v>25</v>
      </c>
      <c r="N311" s="13" t="n">
        <f aca="false">IFERROR(IF(E311="ENTRADA",IF(G311=0,1,MIN(F311/G311,2)),IF(G311=0,1,MAX(1-ABS(J311)/G311,0))),0)</f>
        <v>0.68</v>
      </c>
      <c r="O311" s="16" t="n">
        <v>291</v>
      </c>
    </row>
  </sheetData>
  <mergeCells count="3">
    <mergeCell ref="A1:O1"/>
    <mergeCell ref="A2:O2"/>
    <mergeCell ref="A4:O4"/>
  </mergeCells>
  <conditionalFormatting sqref="J7:J311">
    <cfRule type="colorScale" priority="2">
      <colorScale>
        <cfvo type="min" val="0"/>
        <cfvo type="num" val="0"/>
        <cfvo type="max" val="0"/>
        <color rgb="FFFF4444"/>
        <color rgb="FFFFFFFF"/>
        <color rgb="FF00B050"/>
      </colorScale>
    </cfRule>
  </conditionalFormatting>
  <conditionalFormatting sqref="N7:N311">
    <cfRule type="colorScale" priority="3">
      <colorScale>
        <cfvo type="num" val="0"/>
        <cfvo type="num" val="0.8"/>
        <cfvo type="num" val="1"/>
        <color rgb="FFFF0000"/>
        <color rgb="FFFFFF00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5.58"/>
    <col collapsed="false" customWidth="true" hidden="false" outlineLevel="0" max="3" min="3" style="0" width="18.13"/>
    <col collapsed="false" customWidth="true" hidden="false" outlineLevel="0" max="7" min="7" style="1" width="14"/>
    <col collapsed="false" customWidth="true" hidden="false" outlineLevel="0" max="10" min="8" style="1" width="13"/>
    <col collapsed="false" customWidth="true" hidden="false" outlineLevel="0" max="11" min="11" style="1" width="10"/>
    <col collapsed="false" customWidth="true" hidden="false" outlineLevel="0" max="12" min="12" style="1" width="12"/>
  </cols>
  <sheetData>
    <row r="1" customFormat="false" ht="37.5" hidden="false" customHeight="true" outlineLevel="0" collapsed="false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9.5" hidden="false" customHeight="true" outlineLevel="0" collapsed="false">
      <c r="A2" s="3" t="s">
        <v>329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7.5" hidden="false" customHeight="true" outlineLevel="0" collapsed="false"/>
    <row r="4" customFormat="false" ht="25.5" hidden="false" customHeight="true" outlineLevel="0" collapsed="false">
      <c r="A4" s="33" t="s">
        <v>330</v>
      </c>
      <c r="B4" s="33"/>
      <c r="C4" s="33"/>
      <c r="D4" s="33"/>
      <c r="E4" s="33"/>
      <c r="G4" s="34" t="s">
        <v>331</v>
      </c>
      <c r="H4" s="34"/>
      <c r="I4" s="34"/>
      <c r="J4" s="34"/>
      <c r="K4" s="34"/>
      <c r="L4" s="34"/>
    </row>
    <row r="5" customFormat="false" ht="27.75" hidden="false" customHeight="true" outlineLevel="0" collapsed="false">
      <c r="A5" s="35" t="s">
        <v>332</v>
      </c>
      <c r="B5" s="36" t="n">
        <v>312.98</v>
      </c>
      <c r="G5" s="37" t="s">
        <v>333</v>
      </c>
      <c r="H5" s="37" t="s">
        <v>334</v>
      </c>
      <c r="I5" s="37" t="s">
        <v>335</v>
      </c>
      <c r="J5" s="37" t="s">
        <v>336</v>
      </c>
      <c r="K5" s="37" t="s">
        <v>14</v>
      </c>
      <c r="L5" s="37" t="s">
        <v>337</v>
      </c>
    </row>
    <row r="6" customFormat="false" ht="18" hidden="false" customHeight="true" outlineLevel="0" collapsed="false">
      <c r="A6" s="38" t="s">
        <v>338</v>
      </c>
      <c r="B6" s="39" t="n">
        <v>408.46</v>
      </c>
      <c r="G6" s="40" t="n">
        <v>0</v>
      </c>
      <c r="H6" s="41" t="n">
        <v>0.00072823</v>
      </c>
      <c r="I6" s="41" t="n">
        <v>0.00355197</v>
      </c>
      <c r="J6" s="42" t="n">
        <v>0.221765</v>
      </c>
      <c r="K6" s="24" t="n">
        <v>-0.7662</v>
      </c>
      <c r="L6" s="43" t="n">
        <v>22.18</v>
      </c>
    </row>
    <row r="7" customFormat="false" ht="18" hidden="false" customHeight="true" outlineLevel="0" collapsed="false">
      <c r="A7" s="35" t="s">
        <v>339</v>
      </c>
      <c r="B7" s="44" t="n">
        <v>284</v>
      </c>
      <c r="G7" s="45" t="n">
        <v>29.54</v>
      </c>
      <c r="H7" s="46" t="n">
        <v>0.0007677</v>
      </c>
      <c r="I7" s="46" t="n">
        <v>0.00355197</v>
      </c>
      <c r="J7" s="47" t="n">
        <v>0.243861</v>
      </c>
      <c r="K7" s="14" t="n">
        <v>-0.6939</v>
      </c>
      <c r="L7" s="48" t="n">
        <v>24.39</v>
      </c>
    </row>
    <row r="8" customFormat="false" ht="18" hidden="false" customHeight="true" outlineLevel="0" collapsed="false">
      <c r="A8" s="38" t="s">
        <v>340</v>
      </c>
      <c r="B8" s="49" t="n">
        <v>166839.41</v>
      </c>
      <c r="G8" s="40" t="n">
        <v>59.07</v>
      </c>
      <c r="H8" s="41" t="n">
        <v>0.0008051</v>
      </c>
      <c r="I8" s="41" t="n">
        <v>0.00349073</v>
      </c>
      <c r="J8" s="42" t="n">
        <v>0.267093</v>
      </c>
      <c r="K8" s="24" t="n">
        <v>-0.6216</v>
      </c>
      <c r="L8" s="43" t="n">
        <v>26.71</v>
      </c>
    </row>
    <row r="9" customFormat="false" ht="18" hidden="false" customHeight="true" outlineLevel="0" collapsed="false">
      <c r="A9" s="35" t="s">
        <v>341</v>
      </c>
      <c r="B9" s="50" t="n">
        <v>1.3051</v>
      </c>
      <c r="G9" s="45" t="n">
        <v>88.61</v>
      </c>
      <c r="H9" s="46" t="n">
        <v>0.00083992</v>
      </c>
      <c r="I9" s="46" t="n">
        <v>0.00349073</v>
      </c>
      <c r="J9" s="47" t="n">
        <v>0.291393</v>
      </c>
      <c r="K9" s="14" t="n">
        <v>-0.5493</v>
      </c>
      <c r="L9" s="48" t="n">
        <v>29.14</v>
      </c>
    </row>
    <row r="10" customFormat="false" ht="18" hidden="false" customHeight="true" outlineLevel="0" collapsed="false">
      <c r="A10" s="38" t="s">
        <v>342</v>
      </c>
      <c r="B10" s="51" t="n">
        <v>4.1171</v>
      </c>
      <c r="G10" s="40" t="n">
        <v>118.14</v>
      </c>
      <c r="H10" s="41" t="n">
        <v>0.00087167</v>
      </c>
      <c r="I10" s="41" t="n">
        <v>0.00208219</v>
      </c>
      <c r="J10" s="42" t="n">
        <v>0.316678</v>
      </c>
      <c r="K10" s="24" t="n">
        <v>-0.477</v>
      </c>
      <c r="L10" s="43" t="n">
        <v>31.67</v>
      </c>
    </row>
    <row r="11" customFormat="false" ht="18" hidden="false" customHeight="true" outlineLevel="0" collapsed="false">
      <c r="A11" s="35" t="s">
        <v>343</v>
      </c>
      <c r="B11" s="52" t="n">
        <v>23.319</v>
      </c>
      <c r="G11" s="45" t="n">
        <v>147.68</v>
      </c>
      <c r="H11" s="46" t="n">
        <v>0.0008999</v>
      </c>
      <c r="I11" s="46" t="n">
        <v>0.00208219</v>
      </c>
      <c r="J11" s="47" t="n">
        <v>0.342849</v>
      </c>
      <c r="K11" s="14" t="n">
        <v>-0.4047</v>
      </c>
      <c r="L11" s="48" t="n">
        <v>34.28</v>
      </c>
    </row>
    <row r="12" customFormat="false" ht="18" hidden="false" customHeight="true" outlineLevel="0" collapsed="false">
      <c r="A12" s="38" t="s">
        <v>344</v>
      </c>
      <c r="B12" s="39" t="n">
        <v>24.2804</v>
      </c>
      <c r="G12" s="40" t="n">
        <v>177.21</v>
      </c>
      <c r="H12" s="41" t="n">
        <v>0.00092421</v>
      </c>
      <c r="I12" s="41" t="n">
        <v>0.00140854</v>
      </c>
      <c r="J12" s="42" t="n">
        <v>0.369797</v>
      </c>
      <c r="K12" s="24" t="n">
        <v>-0.3324</v>
      </c>
      <c r="L12" s="43" t="n">
        <v>36.98</v>
      </c>
    </row>
    <row r="13" customFormat="false" ht="18" hidden="false" customHeight="true" outlineLevel="0" collapsed="false">
      <c r="A13" s="35" t="s">
        <v>345</v>
      </c>
      <c r="B13" s="36" t="n">
        <v>265.48</v>
      </c>
      <c r="G13" s="45" t="n">
        <v>206.75</v>
      </c>
      <c r="H13" s="46" t="n">
        <v>0.00094422</v>
      </c>
      <c r="I13" s="46" t="n">
        <v>0.00140854</v>
      </c>
      <c r="J13" s="47" t="n">
        <v>0.3974</v>
      </c>
      <c r="K13" s="14" t="n">
        <v>-0.2601</v>
      </c>
      <c r="L13" s="48" t="n">
        <v>39.74</v>
      </c>
    </row>
    <row r="14" customFormat="false" ht="18" hidden="false" customHeight="true" outlineLevel="0" collapsed="false">
      <c r="A14" s="38" t="s">
        <v>346</v>
      </c>
      <c r="B14" s="39" t="n">
        <v>360.49</v>
      </c>
      <c r="G14" s="40" t="n">
        <v>236.28</v>
      </c>
      <c r="H14" s="41" t="n">
        <v>0.00095963</v>
      </c>
      <c r="I14" s="41" t="n">
        <v>0.00097985</v>
      </c>
      <c r="J14" s="42" t="n">
        <v>0.425527</v>
      </c>
      <c r="K14" s="24" t="n">
        <v>-0.1878</v>
      </c>
      <c r="L14" s="43" t="n">
        <v>42.55</v>
      </c>
    </row>
    <row r="15" customFormat="false" ht="18" hidden="false" customHeight="true" outlineLevel="0" collapsed="false">
      <c r="A15" s="35" t="s">
        <v>347</v>
      </c>
      <c r="B15" s="36" t="n">
        <v>250.54</v>
      </c>
      <c r="G15" s="45" t="n">
        <v>265.82</v>
      </c>
      <c r="H15" s="46" t="n">
        <v>0.00097021</v>
      </c>
      <c r="I15" s="46" t="n">
        <v>0.00097985</v>
      </c>
      <c r="J15" s="47" t="n">
        <v>0.454039</v>
      </c>
      <c r="K15" s="14" t="n">
        <v>-0.1155</v>
      </c>
      <c r="L15" s="48" t="n">
        <v>45.4</v>
      </c>
    </row>
    <row r="16" customFormat="false" ht="18" hidden="false" customHeight="true" outlineLevel="0" collapsed="false">
      <c r="A16" s="38" t="s">
        <v>348</v>
      </c>
      <c r="B16" s="39" t="n">
        <v>375.42</v>
      </c>
      <c r="G16" s="40" t="n">
        <v>295.35</v>
      </c>
      <c r="H16" s="41" t="n">
        <v>0.00097579</v>
      </c>
      <c r="I16" s="41" t="n">
        <v>0.00067365</v>
      </c>
      <c r="J16" s="42" t="n">
        <v>0.482789</v>
      </c>
      <c r="K16" s="24" t="n">
        <v>-0.0432</v>
      </c>
      <c r="L16" s="43" t="n">
        <v>48.28</v>
      </c>
    </row>
    <row r="17" customFormat="false" ht="18" hidden="false" customHeight="true" outlineLevel="0" collapsed="false">
      <c r="G17" s="45" t="n">
        <v>324.89</v>
      </c>
      <c r="H17" s="46" t="n">
        <v>0.00097628</v>
      </c>
      <c r="I17" s="46" t="n">
        <v>0.00067365</v>
      </c>
      <c r="J17" s="47" t="n">
        <v>0.51163</v>
      </c>
      <c r="K17" s="14" t="n">
        <v>0.0292</v>
      </c>
      <c r="L17" s="48" t="n">
        <v>51.16</v>
      </c>
    </row>
    <row r="18" customFormat="false" ht="25.5" hidden="false" customHeight="true" outlineLevel="0" collapsed="false">
      <c r="A18" s="33" t="s">
        <v>349</v>
      </c>
      <c r="B18" s="33"/>
      <c r="C18" s="33"/>
      <c r="G18" s="40" t="n">
        <v>354.43</v>
      </c>
      <c r="H18" s="41" t="n">
        <v>0.00097168</v>
      </c>
      <c r="I18" s="41" t="n">
        <v>0.00055117</v>
      </c>
      <c r="J18" s="42" t="n">
        <v>0.540409</v>
      </c>
      <c r="K18" s="24" t="n">
        <v>0.1015</v>
      </c>
      <c r="L18" s="43" t="n">
        <v>54.04</v>
      </c>
    </row>
    <row r="19" customFormat="false" ht="18" hidden="false" customHeight="true" outlineLevel="0" collapsed="false">
      <c r="A19" s="53" t="s">
        <v>350</v>
      </c>
      <c r="B19" s="53" t="s">
        <v>351</v>
      </c>
      <c r="C19" s="53" t="s">
        <v>352</v>
      </c>
      <c r="G19" s="45" t="n">
        <v>383.96</v>
      </c>
      <c r="H19" s="46" t="n">
        <v>0.00096206</v>
      </c>
      <c r="I19" s="46" t="n">
        <v>0.00055117</v>
      </c>
      <c r="J19" s="47" t="n">
        <v>0.568978</v>
      </c>
      <c r="K19" s="14" t="n">
        <v>0.1738</v>
      </c>
      <c r="L19" s="48" t="n">
        <v>56.9</v>
      </c>
    </row>
    <row r="20" customFormat="false" ht="24" hidden="false" customHeight="true" outlineLevel="0" collapsed="false">
      <c r="A20" s="54" t="s">
        <v>353</v>
      </c>
      <c r="B20" s="55" t="s">
        <v>354</v>
      </c>
      <c r="C20" s="56" t="s">
        <v>355</v>
      </c>
      <c r="G20" s="40" t="n">
        <v>413.5</v>
      </c>
      <c r="H20" s="41" t="n">
        <v>0.00094757</v>
      </c>
      <c r="I20" s="41" t="n">
        <v>0.00110234</v>
      </c>
      <c r="J20" s="42" t="n">
        <v>0.597191</v>
      </c>
      <c r="K20" s="24" t="n">
        <v>0.2461</v>
      </c>
      <c r="L20" s="43" t="n">
        <v>59.72</v>
      </c>
    </row>
    <row r="21" customFormat="false" ht="24" hidden="false" customHeight="true" outlineLevel="0" collapsed="false">
      <c r="A21" s="57" t="s">
        <v>356</v>
      </c>
      <c r="B21" s="55" t="s">
        <v>357</v>
      </c>
      <c r="C21" s="58" t="s">
        <v>358</v>
      </c>
      <c r="G21" s="45" t="n">
        <v>443.03</v>
      </c>
      <c r="H21" s="46" t="n">
        <v>0.00092843</v>
      </c>
      <c r="I21" s="46" t="n">
        <v>0.00110234</v>
      </c>
      <c r="J21" s="47" t="n">
        <v>0.624906</v>
      </c>
      <c r="K21" s="14" t="n">
        <v>0.3184</v>
      </c>
      <c r="L21" s="48" t="n">
        <v>62.49</v>
      </c>
    </row>
    <row r="22" customFormat="false" ht="24" hidden="false" customHeight="true" outlineLevel="0" collapsed="false">
      <c r="A22" s="59" t="s">
        <v>359</v>
      </c>
      <c r="B22" s="55" t="s">
        <v>360</v>
      </c>
      <c r="C22" s="60" t="s">
        <v>361</v>
      </c>
      <c r="G22" s="40" t="n">
        <v>472.57</v>
      </c>
      <c r="H22" s="41" t="n">
        <v>0.00090493</v>
      </c>
      <c r="I22" s="41" t="n">
        <v>0.00067365</v>
      </c>
      <c r="J22" s="42" t="n">
        <v>0.651991</v>
      </c>
      <c r="K22" s="24" t="n">
        <v>0.3907</v>
      </c>
      <c r="L22" s="43" t="n">
        <v>65.2</v>
      </c>
    </row>
    <row r="23" customFormat="false" ht="24" hidden="false" customHeight="true" outlineLevel="0" collapsed="false">
      <c r="A23" s="61" t="s">
        <v>362</v>
      </c>
      <c r="B23" s="55" t="s">
        <v>363</v>
      </c>
      <c r="C23" s="62" t="s">
        <v>364</v>
      </c>
      <c r="G23" s="45" t="n">
        <v>502.1</v>
      </c>
      <c r="H23" s="46" t="n">
        <v>0.00087742</v>
      </c>
      <c r="I23" s="46" t="n">
        <v>0.00067365</v>
      </c>
      <c r="J23" s="47" t="n">
        <v>0.678322</v>
      </c>
      <c r="K23" s="14" t="n">
        <v>0.463</v>
      </c>
      <c r="L23" s="48" t="n">
        <v>67.83</v>
      </c>
    </row>
    <row r="24" customFormat="false" ht="24" hidden="false" customHeight="true" outlineLevel="0" collapsed="false">
      <c r="A24" s="63" t="s">
        <v>365</v>
      </c>
      <c r="B24" s="55" t="s">
        <v>366</v>
      </c>
      <c r="C24" s="64" t="s">
        <v>361</v>
      </c>
      <c r="G24" s="40" t="n">
        <v>531.64</v>
      </c>
      <c r="H24" s="41" t="n">
        <v>0.00084632</v>
      </c>
      <c r="I24" s="41" t="n">
        <v>0.00055117</v>
      </c>
      <c r="J24" s="42" t="n">
        <v>0.703786</v>
      </c>
      <c r="K24" s="24" t="n">
        <v>0.5353</v>
      </c>
      <c r="L24" s="43" t="n">
        <v>70.38</v>
      </c>
    </row>
    <row r="25" customFormat="false" ht="24" hidden="false" customHeight="true" outlineLevel="0" collapsed="false">
      <c r="A25" s="65" t="s">
        <v>367</v>
      </c>
      <c r="B25" s="55" t="s">
        <v>368</v>
      </c>
      <c r="C25" s="66" t="s">
        <v>358</v>
      </c>
      <c r="G25" s="45" t="n">
        <v>561.17</v>
      </c>
      <c r="H25" s="46" t="n">
        <v>0.00081206</v>
      </c>
      <c r="I25" s="46" t="n">
        <v>0.00055117</v>
      </c>
      <c r="J25" s="47" t="n">
        <v>0.728283</v>
      </c>
      <c r="K25" s="14" t="n">
        <v>0.6076</v>
      </c>
      <c r="L25" s="48" t="n">
        <v>72.83</v>
      </c>
    </row>
    <row r="26" customFormat="false" ht="24" hidden="false" customHeight="true" outlineLevel="0" collapsed="false">
      <c r="A26" s="67" t="s">
        <v>369</v>
      </c>
      <c r="B26" s="55" t="s">
        <v>370</v>
      </c>
      <c r="C26" s="68" t="s">
        <v>355</v>
      </c>
      <c r="G26" s="40" t="n">
        <v>590.71</v>
      </c>
      <c r="H26" s="41" t="n">
        <v>0.00077512</v>
      </c>
      <c r="I26" s="41" t="n">
        <v>0.00055117</v>
      </c>
      <c r="J26" s="42" t="n">
        <v>0.751728</v>
      </c>
      <c r="K26" s="24" t="n">
        <v>0.6799</v>
      </c>
      <c r="L26" s="43" t="n">
        <v>75.17</v>
      </c>
    </row>
    <row r="27" customFormat="false" ht="18" hidden="false" customHeight="true" outlineLevel="0" collapsed="false">
      <c r="G27" s="45" t="n">
        <v>620.24</v>
      </c>
      <c r="H27" s="46" t="n">
        <v>0.00073601</v>
      </c>
      <c r="I27" s="46" t="n">
        <v>0.00018372</v>
      </c>
      <c r="J27" s="47" t="n">
        <v>0.774049</v>
      </c>
      <c r="K27" s="14" t="n">
        <v>0.7522</v>
      </c>
      <c r="L27" s="48" t="n">
        <v>77.4</v>
      </c>
    </row>
    <row r="28" customFormat="false" ht="25.5" hidden="false" customHeight="true" outlineLevel="0" collapsed="false">
      <c r="A28" s="33" t="s">
        <v>371</v>
      </c>
      <c r="B28" s="33"/>
      <c r="C28" s="33"/>
      <c r="G28" s="40" t="n">
        <v>649.78</v>
      </c>
      <c r="H28" s="41" t="n">
        <v>0.00069522</v>
      </c>
      <c r="I28" s="41" t="n">
        <v>0.00018372</v>
      </c>
      <c r="J28" s="42" t="n">
        <v>0.795188</v>
      </c>
      <c r="K28" s="24" t="n">
        <v>0.8246</v>
      </c>
      <c r="L28" s="43" t="n">
        <v>79.52</v>
      </c>
    </row>
    <row r="29" customFormat="false" ht="21.75" hidden="false" customHeight="true" outlineLevel="0" collapsed="false">
      <c r="A29" s="53" t="s">
        <v>372</v>
      </c>
      <c r="B29" s="53" t="s">
        <v>8</v>
      </c>
      <c r="C29" s="53" t="s">
        <v>373</v>
      </c>
      <c r="G29" s="45" t="n">
        <v>679.31</v>
      </c>
      <c r="H29" s="46" t="n">
        <v>0.00065327</v>
      </c>
      <c r="I29" s="46" t="n">
        <v>0.0003062</v>
      </c>
      <c r="J29" s="47" t="n">
        <v>0.815105</v>
      </c>
      <c r="K29" s="14" t="n">
        <v>0.8969</v>
      </c>
      <c r="L29" s="48" t="n">
        <v>81.51</v>
      </c>
    </row>
    <row r="30" customFormat="false" ht="21.75" hidden="false" customHeight="true" outlineLevel="0" collapsed="false">
      <c r="A30" s="56" t="s">
        <v>374</v>
      </c>
      <c r="B30" s="69" t="n">
        <v>40.93</v>
      </c>
      <c r="C30" s="70" t="s">
        <v>375</v>
      </c>
      <c r="G30" s="40" t="n">
        <v>708.85</v>
      </c>
      <c r="H30" s="41" t="n">
        <v>0.00061065</v>
      </c>
      <c r="I30" s="41" t="n">
        <v>0.0003062</v>
      </c>
      <c r="J30" s="42" t="n">
        <v>0.833771</v>
      </c>
      <c r="K30" s="24" t="n">
        <v>0.9692</v>
      </c>
      <c r="L30" s="43" t="n">
        <v>83.38</v>
      </c>
    </row>
    <row r="31" customFormat="false" ht="21.75" hidden="false" customHeight="true" outlineLevel="0" collapsed="false">
      <c r="A31" s="71" t="s">
        <v>376</v>
      </c>
      <c r="B31" s="72" t="n">
        <v>56.04</v>
      </c>
      <c r="C31" s="73" t="s">
        <v>377</v>
      </c>
      <c r="G31" s="45" t="n">
        <v>738.39</v>
      </c>
      <c r="H31" s="46" t="n">
        <v>0.00056784</v>
      </c>
      <c r="I31" s="46" t="n">
        <v>0.00018372</v>
      </c>
      <c r="J31" s="47" t="n">
        <v>0.851175</v>
      </c>
      <c r="K31" s="14" t="n">
        <v>1.0415</v>
      </c>
      <c r="L31" s="48" t="n">
        <v>85.12</v>
      </c>
    </row>
    <row r="32" customFormat="false" ht="21.75" hidden="false" customHeight="true" outlineLevel="0" collapsed="false">
      <c r="A32" s="56" t="s">
        <v>378</v>
      </c>
      <c r="B32" s="69" t="n">
        <v>84.92</v>
      </c>
      <c r="C32" s="70" t="s">
        <v>379</v>
      </c>
      <c r="G32" s="40" t="n">
        <v>767.92</v>
      </c>
      <c r="H32" s="41" t="n">
        <v>0.00052527</v>
      </c>
      <c r="I32" s="41" t="n">
        <v>0.00018372</v>
      </c>
      <c r="J32" s="42" t="n">
        <v>0.867316</v>
      </c>
      <c r="K32" s="24" t="n">
        <v>1.1138</v>
      </c>
      <c r="L32" s="43" t="n">
        <v>86.73</v>
      </c>
    </row>
    <row r="33" customFormat="false" ht="21.75" hidden="false" customHeight="true" outlineLevel="0" collapsed="false">
      <c r="A33" s="71" t="s">
        <v>380</v>
      </c>
      <c r="B33" s="72" t="n">
        <v>174.66</v>
      </c>
      <c r="C33" s="73" t="s">
        <v>381</v>
      </c>
      <c r="G33" s="45" t="n">
        <v>797.46</v>
      </c>
      <c r="H33" s="46" t="n">
        <v>0.00048336</v>
      </c>
      <c r="I33" s="46" t="n">
        <v>0.00012248</v>
      </c>
      <c r="J33" s="47" t="n">
        <v>0.882209</v>
      </c>
      <c r="K33" s="14" t="n">
        <v>1.1861</v>
      </c>
      <c r="L33" s="48" t="n">
        <v>88.22</v>
      </c>
    </row>
    <row r="34" customFormat="false" ht="21.75" hidden="false" customHeight="true" outlineLevel="0" collapsed="false">
      <c r="A34" s="56" t="s">
        <v>382</v>
      </c>
      <c r="B34" s="69" t="n">
        <v>433.05</v>
      </c>
      <c r="C34" s="70" t="s">
        <v>383</v>
      </c>
      <c r="G34" s="40" t="n">
        <v>826.99</v>
      </c>
      <c r="H34" s="41" t="n">
        <v>0.00044247</v>
      </c>
      <c r="I34" s="41" t="n">
        <v>0.00012248</v>
      </c>
      <c r="J34" s="42" t="n">
        <v>0.895879</v>
      </c>
      <c r="K34" s="24" t="n">
        <v>1.2584</v>
      </c>
      <c r="L34" s="43" t="n">
        <v>89.59</v>
      </c>
    </row>
    <row r="35" customFormat="false" ht="21.75" hidden="false" customHeight="true" outlineLevel="0" collapsed="false">
      <c r="A35" s="71" t="s">
        <v>384</v>
      </c>
      <c r="B35" s="72" t="n">
        <v>654.69</v>
      </c>
      <c r="C35" s="73" t="s">
        <v>385</v>
      </c>
      <c r="G35" s="45" t="n">
        <v>856.53</v>
      </c>
      <c r="H35" s="46" t="n">
        <v>0.00040293</v>
      </c>
      <c r="I35" s="46" t="n">
        <v>0.00012248</v>
      </c>
      <c r="J35" s="47" t="n">
        <v>0.90836</v>
      </c>
      <c r="K35" s="14" t="n">
        <v>1.3307</v>
      </c>
      <c r="L35" s="48" t="n">
        <v>90.84</v>
      </c>
    </row>
    <row r="36" customFormat="false" ht="21.75" hidden="false" customHeight="true" outlineLevel="0" collapsed="false">
      <c r="A36" s="56" t="s">
        <v>386</v>
      </c>
      <c r="B36" s="69" t="n">
        <v>916.48</v>
      </c>
      <c r="C36" s="70" t="s">
        <v>387</v>
      </c>
      <c r="G36" s="40" t="n">
        <v>886.06</v>
      </c>
      <c r="H36" s="41" t="n">
        <v>0.00036501</v>
      </c>
      <c r="I36" s="41" t="n">
        <v>0.00012248</v>
      </c>
      <c r="J36" s="42" t="n">
        <v>0.919696</v>
      </c>
      <c r="K36" s="24" t="n">
        <v>1.403</v>
      </c>
      <c r="L36" s="43" t="n">
        <v>91.97</v>
      </c>
    </row>
    <row r="37" customFormat="false" ht="21.75" hidden="false" customHeight="true" outlineLevel="0" collapsed="false">
      <c r="A37" s="71" t="s">
        <v>388</v>
      </c>
      <c r="B37" s="72" t="n">
        <v>2449.28</v>
      </c>
      <c r="C37" s="73" t="s">
        <v>389</v>
      </c>
      <c r="G37" s="45" t="n">
        <v>915.6</v>
      </c>
      <c r="H37" s="46" t="n">
        <v>0.00032894</v>
      </c>
      <c r="I37" s="46" t="n">
        <v>0.00012248</v>
      </c>
      <c r="J37" s="47" t="n">
        <v>0.929939</v>
      </c>
      <c r="K37" s="14" t="n">
        <v>1.4753</v>
      </c>
      <c r="L37" s="48" t="n">
        <v>92.99</v>
      </c>
    </row>
    <row r="38" customFormat="false" ht="18" hidden="false" customHeight="true" outlineLevel="0" collapsed="false">
      <c r="G38" s="40" t="n">
        <v>945.13</v>
      </c>
      <c r="H38" s="41" t="n">
        <v>0.00029488</v>
      </c>
      <c r="I38" s="41" t="n">
        <v>0.00012248</v>
      </c>
      <c r="J38" s="42" t="n">
        <v>0.939147</v>
      </c>
      <c r="K38" s="24" t="n">
        <v>1.5476</v>
      </c>
      <c r="L38" s="43" t="n">
        <v>93.91</v>
      </c>
    </row>
    <row r="39" customFormat="false" ht="18" hidden="false" customHeight="true" outlineLevel="0" collapsed="false">
      <c r="G39" s="45" t="n">
        <v>974.67</v>
      </c>
      <c r="H39" s="46" t="n">
        <v>0.00026297</v>
      </c>
      <c r="I39" s="46" t="n">
        <v>6.124E-005</v>
      </c>
      <c r="J39" s="47" t="n">
        <v>0.947379</v>
      </c>
      <c r="K39" s="14" t="n">
        <v>1.62</v>
      </c>
      <c r="L39" s="48" t="n">
        <v>94.74</v>
      </c>
    </row>
    <row r="40" customFormat="false" ht="18" hidden="false" customHeight="true" outlineLevel="0" collapsed="false">
      <c r="G40" s="40" t="n">
        <v>1004.2</v>
      </c>
      <c r="H40" s="41" t="n">
        <v>0.00023329</v>
      </c>
      <c r="I40" s="41" t="n">
        <v>6.124E-005</v>
      </c>
      <c r="J40" s="42" t="n">
        <v>0.954703</v>
      </c>
      <c r="K40" s="24" t="n">
        <v>1.6923</v>
      </c>
      <c r="L40" s="43" t="n">
        <v>95.47</v>
      </c>
    </row>
    <row r="41" customFormat="false" ht="18" hidden="false" customHeight="true" outlineLevel="0" collapsed="false">
      <c r="G41" s="45" t="n">
        <v>1033.74</v>
      </c>
      <c r="H41" s="46" t="n">
        <v>0.00020588</v>
      </c>
      <c r="I41" s="46" t="n">
        <v>0.00018372</v>
      </c>
      <c r="J41" s="47" t="n">
        <v>0.961183</v>
      </c>
      <c r="K41" s="14" t="n">
        <v>1.7646</v>
      </c>
      <c r="L41" s="48" t="n">
        <v>96.12</v>
      </c>
    </row>
    <row r="42" customFormat="false" ht="18" hidden="false" customHeight="true" outlineLevel="0" collapsed="false">
      <c r="G42" s="40" t="n">
        <v>1063.28</v>
      </c>
      <c r="H42" s="41" t="n">
        <v>0.00018075</v>
      </c>
      <c r="I42" s="41" t="n">
        <v>0.00018372</v>
      </c>
      <c r="J42" s="42" t="n">
        <v>0.966887</v>
      </c>
      <c r="K42" s="24" t="n">
        <v>1.8369</v>
      </c>
      <c r="L42" s="43" t="n">
        <v>96.69</v>
      </c>
    </row>
    <row r="43" customFormat="false" ht="18" hidden="false" customHeight="true" outlineLevel="0" collapsed="false">
      <c r="G43" s="45" t="n">
        <v>1092.81</v>
      </c>
      <c r="H43" s="46" t="n">
        <v>0.00015785</v>
      </c>
      <c r="I43" s="46" t="n">
        <v>6.124E-005</v>
      </c>
      <c r="J43" s="47" t="n">
        <v>0.971882</v>
      </c>
      <c r="K43" s="14" t="n">
        <v>1.9092</v>
      </c>
      <c r="L43" s="48" t="n">
        <v>97.19</v>
      </c>
    </row>
    <row r="44" customFormat="false" ht="18" hidden="false" customHeight="true" outlineLevel="0" collapsed="false">
      <c r="G44" s="40" t="n">
        <v>1122.35</v>
      </c>
      <c r="H44" s="41" t="n">
        <v>0.00013714</v>
      </c>
      <c r="I44" s="41" t="n">
        <v>6.124E-005</v>
      </c>
      <c r="J44" s="42" t="n">
        <v>0.976233</v>
      </c>
      <c r="K44" s="24" t="n">
        <v>1.9815</v>
      </c>
      <c r="L44" s="43" t="n">
        <v>97.62</v>
      </c>
    </row>
    <row r="45" customFormat="false" ht="18" hidden="false" customHeight="true" outlineLevel="0" collapsed="false">
      <c r="G45" s="45" t="n">
        <v>1151.88</v>
      </c>
      <c r="H45" s="46" t="n">
        <v>0.00011852</v>
      </c>
      <c r="I45" s="46" t="n">
        <v>6.124E-005</v>
      </c>
      <c r="J45" s="47" t="n">
        <v>0.980003</v>
      </c>
      <c r="K45" s="14" t="n">
        <v>2.0538</v>
      </c>
      <c r="L45" s="48" t="n">
        <v>98</v>
      </c>
    </row>
    <row r="46" customFormat="false" ht="18" hidden="false" customHeight="true" outlineLevel="0" collapsed="false">
      <c r="G46" s="40" t="n">
        <v>1181.42</v>
      </c>
      <c r="H46" s="41" t="n">
        <v>0.0001019</v>
      </c>
      <c r="I46" s="41" t="n">
        <v>6.124E-005</v>
      </c>
      <c r="J46" s="42" t="n">
        <v>0.983254</v>
      </c>
      <c r="K46" s="24" t="n">
        <v>2.1261</v>
      </c>
      <c r="L46" s="43" t="n">
        <v>98.33</v>
      </c>
    </row>
    <row r="47" customFormat="false" ht="18" hidden="false" customHeight="true" outlineLevel="0" collapsed="false">
      <c r="G47" s="45" t="n">
        <v>1210.95</v>
      </c>
      <c r="H47" s="46" t="n">
        <v>8.715E-005</v>
      </c>
      <c r="I47" s="46" t="n">
        <v>6.124E-005</v>
      </c>
      <c r="J47" s="47" t="n">
        <v>0.986041</v>
      </c>
      <c r="K47" s="14" t="n">
        <v>2.1984</v>
      </c>
      <c r="L47" s="48" t="n">
        <v>98.6</v>
      </c>
    </row>
    <row r="48" customFormat="false" ht="18" hidden="false" customHeight="true" outlineLevel="0" collapsed="false">
      <c r="G48" s="40" t="n">
        <v>1240.49</v>
      </c>
      <c r="H48" s="41" t="n">
        <v>7.415E-005</v>
      </c>
      <c r="I48" s="41" t="n">
        <v>6.124E-005</v>
      </c>
      <c r="J48" s="42" t="n">
        <v>0.988419</v>
      </c>
      <c r="K48" s="24" t="n">
        <v>2.2707</v>
      </c>
      <c r="L48" s="43" t="n">
        <v>98.84</v>
      </c>
    </row>
    <row r="49" customFormat="false" ht="18" hidden="false" customHeight="true" outlineLevel="0" collapsed="false">
      <c r="G49" s="45" t="n">
        <v>1270.02</v>
      </c>
      <c r="H49" s="46" t="n">
        <v>6.275E-005</v>
      </c>
      <c r="I49" s="46" t="n">
        <v>0</v>
      </c>
      <c r="J49" s="47" t="n">
        <v>0.990437</v>
      </c>
      <c r="K49" s="14" t="n">
        <v>2.3431</v>
      </c>
      <c r="L49" s="48" t="n">
        <v>99.04</v>
      </c>
    </row>
    <row r="50" customFormat="false" ht="18" hidden="false" customHeight="true" outlineLevel="0" collapsed="false">
      <c r="G50" s="40" t="n">
        <v>1299.56</v>
      </c>
      <c r="H50" s="41" t="n">
        <v>5.284E-005</v>
      </c>
      <c r="I50" s="41" t="n">
        <v>0</v>
      </c>
      <c r="J50" s="42" t="n">
        <v>0.99214</v>
      </c>
      <c r="K50" s="24" t="n">
        <v>2.4154</v>
      </c>
      <c r="L50" s="43" t="n">
        <v>99.21</v>
      </c>
    </row>
    <row r="51" customFormat="false" ht="18" hidden="false" customHeight="true" outlineLevel="0" collapsed="false">
      <c r="G51" s="45" t="n">
        <v>1329.09</v>
      </c>
      <c r="H51" s="46" t="n">
        <v>4.425E-005</v>
      </c>
      <c r="I51" s="46" t="n">
        <v>0</v>
      </c>
      <c r="J51" s="47" t="n">
        <v>0.993571</v>
      </c>
      <c r="K51" s="14" t="n">
        <v>2.4877</v>
      </c>
      <c r="L51" s="48" t="n">
        <v>99.36</v>
      </c>
    </row>
    <row r="52" customFormat="false" ht="18" hidden="false" customHeight="true" outlineLevel="0" collapsed="false">
      <c r="G52" s="40" t="n">
        <v>1358.63</v>
      </c>
      <c r="H52" s="41" t="n">
        <v>3.687E-005</v>
      </c>
      <c r="I52" s="41" t="n">
        <v>0</v>
      </c>
      <c r="J52" s="42" t="n">
        <v>0.994766</v>
      </c>
      <c r="K52" s="24" t="n">
        <v>2.56</v>
      </c>
      <c r="L52" s="43" t="n">
        <v>99.48</v>
      </c>
    </row>
    <row r="53" customFormat="false" ht="18" hidden="false" customHeight="true" outlineLevel="0" collapsed="false">
      <c r="G53" s="45" t="n">
        <v>1388.17</v>
      </c>
      <c r="H53" s="46" t="n">
        <v>3.056E-005</v>
      </c>
      <c r="I53" s="46" t="n">
        <v>0</v>
      </c>
      <c r="J53" s="47" t="n">
        <v>0.995759</v>
      </c>
      <c r="K53" s="14" t="n">
        <v>2.6323</v>
      </c>
      <c r="L53" s="48" t="n">
        <v>99.58</v>
      </c>
    </row>
    <row r="54" customFormat="false" ht="18" hidden="false" customHeight="true" outlineLevel="0" collapsed="false">
      <c r="G54" s="40" t="n">
        <v>1417.7</v>
      </c>
      <c r="H54" s="41" t="n">
        <v>2.52E-005</v>
      </c>
      <c r="I54" s="41" t="n">
        <v>0</v>
      </c>
      <c r="J54" s="42" t="n">
        <v>0.996581</v>
      </c>
      <c r="K54" s="24" t="n">
        <v>2.7046</v>
      </c>
      <c r="L54" s="43" t="n">
        <v>99.66</v>
      </c>
    </row>
    <row r="55" customFormat="false" ht="18" hidden="false" customHeight="true" outlineLevel="0" collapsed="false">
      <c r="G55" s="45" t="n">
        <v>1447.24</v>
      </c>
      <c r="H55" s="46" t="n">
        <v>2.067E-005</v>
      </c>
      <c r="I55" s="46" t="n">
        <v>0</v>
      </c>
      <c r="J55" s="47" t="n">
        <v>0.997256</v>
      </c>
      <c r="K55" s="14" t="n">
        <v>2.7769</v>
      </c>
      <c r="L55" s="48" t="n">
        <v>99.73</v>
      </c>
    </row>
    <row r="56" customFormat="false" ht="18" hidden="false" customHeight="true" outlineLevel="0" collapsed="false">
      <c r="G56" s="40" t="n">
        <v>1476.77</v>
      </c>
      <c r="H56" s="41" t="n">
        <v>1.686E-005</v>
      </c>
      <c r="I56" s="41" t="n">
        <v>0</v>
      </c>
      <c r="J56" s="42" t="n">
        <v>0.997809</v>
      </c>
      <c r="K56" s="24" t="n">
        <v>2.8492</v>
      </c>
      <c r="L56" s="43" t="n">
        <v>99.78</v>
      </c>
    </row>
    <row r="57" customFormat="false" ht="18" hidden="false" customHeight="true" outlineLevel="0" collapsed="false">
      <c r="G57" s="45" t="n">
        <v>1506.31</v>
      </c>
      <c r="H57" s="46" t="n">
        <v>1.369E-005</v>
      </c>
      <c r="I57" s="46" t="n">
        <v>0</v>
      </c>
      <c r="J57" s="47" t="n">
        <v>0.998258</v>
      </c>
      <c r="K57" s="14" t="n">
        <v>2.9215</v>
      </c>
      <c r="L57" s="48" t="n">
        <v>99.83</v>
      </c>
    </row>
    <row r="58" customFormat="false" ht="18" hidden="false" customHeight="true" outlineLevel="0" collapsed="false">
      <c r="G58" s="40" t="n">
        <v>1535.84</v>
      </c>
      <c r="H58" s="41" t="n">
        <v>1.105E-005</v>
      </c>
      <c r="I58" s="41" t="n">
        <v>0</v>
      </c>
      <c r="J58" s="42" t="n">
        <v>0.998623</v>
      </c>
      <c r="K58" s="24" t="n">
        <v>2.9938</v>
      </c>
      <c r="L58" s="43" t="n">
        <v>99.86</v>
      </c>
    </row>
    <row r="59" customFormat="false" ht="18" hidden="false" customHeight="true" outlineLevel="0" collapsed="false">
      <c r="G59" s="45" t="n">
        <v>1565.38</v>
      </c>
      <c r="H59" s="46" t="n">
        <v>8.88E-006</v>
      </c>
      <c r="I59" s="46" t="n">
        <v>0</v>
      </c>
      <c r="J59" s="47" t="n">
        <v>0.998916</v>
      </c>
      <c r="K59" s="14" t="n">
        <v>3.0661</v>
      </c>
      <c r="L59" s="48" t="n">
        <v>99.89</v>
      </c>
    </row>
    <row r="60" customFormat="false" ht="18" hidden="false" customHeight="true" outlineLevel="0" collapsed="false">
      <c r="G60" s="40" t="n">
        <v>1594.91</v>
      </c>
      <c r="H60" s="41" t="n">
        <v>7.09E-006</v>
      </c>
      <c r="I60" s="41" t="n">
        <v>0</v>
      </c>
      <c r="J60" s="42" t="n">
        <v>0.999151</v>
      </c>
      <c r="K60" s="24" t="n">
        <v>3.1385</v>
      </c>
      <c r="L60" s="43" t="n">
        <v>99.92</v>
      </c>
    </row>
    <row r="61" customFormat="false" ht="18" hidden="false" customHeight="true" outlineLevel="0" collapsed="false">
      <c r="G61" s="45" t="n">
        <v>1624.45</v>
      </c>
      <c r="H61" s="46" t="n">
        <v>5.64E-006</v>
      </c>
      <c r="I61" s="46" t="n">
        <v>6.124E-005</v>
      </c>
      <c r="J61" s="47" t="n">
        <v>0.999338</v>
      </c>
      <c r="K61" s="14" t="n">
        <v>3.2108</v>
      </c>
      <c r="L61" s="48" t="n">
        <v>99.93</v>
      </c>
    </row>
    <row r="62" customFormat="false" ht="18" hidden="false" customHeight="true" outlineLevel="0" collapsed="false">
      <c r="G62" s="40" t="n">
        <v>1653.98</v>
      </c>
      <c r="H62" s="41" t="n">
        <v>4.46E-006</v>
      </c>
      <c r="I62" s="41" t="n">
        <v>6.124E-005</v>
      </c>
      <c r="J62" s="42" t="n">
        <v>0.999487</v>
      </c>
      <c r="K62" s="24" t="n">
        <v>3.2831</v>
      </c>
      <c r="L62" s="43" t="n">
        <v>99.95</v>
      </c>
    </row>
    <row r="63" customFormat="false" ht="18" hidden="false" customHeight="true" outlineLevel="0" collapsed="false">
      <c r="G63" s="45" t="n">
        <v>1683.52</v>
      </c>
      <c r="H63" s="46" t="n">
        <v>3.51E-006</v>
      </c>
      <c r="I63" s="46" t="n">
        <v>0</v>
      </c>
      <c r="J63" s="47" t="n">
        <v>0.999604</v>
      </c>
      <c r="K63" s="14" t="n">
        <v>3.3554</v>
      </c>
      <c r="L63" s="48" t="n">
        <v>99.96</v>
      </c>
    </row>
    <row r="64" customFormat="false" ht="18" hidden="false" customHeight="true" outlineLevel="0" collapsed="false">
      <c r="G64" s="40" t="n">
        <v>1713.05</v>
      </c>
      <c r="H64" s="41" t="n">
        <v>2.74E-006</v>
      </c>
      <c r="I64" s="41" t="n">
        <v>0</v>
      </c>
      <c r="J64" s="42" t="n">
        <v>0.999696</v>
      </c>
      <c r="K64" s="24" t="n">
        <v>3.4277</v>
      </c>
      <c r="L64" s="43" t="n">
        <v>99.97</v>
      </c>
    </row>
    <row r="65" customFormat="false" ht="18" hidden="false" customHeight="true" outlineLevel="0" collapsed="false">
      <c r="G65" s="45" t="n">
        <v>1742.59</v>
      </c>
      <c r="H65" s="46" t="n">
        <v>2.14E-006</v>
      </c>
      <c r="I65" s="46" t="n">
        <v>0</v>
      </c>
      <c r="J65" s="47" t="n">
        <v>0.999767</v>
      </c>
      <c r="K65" s="14" t="n">
        <v>3.5</v>
      </c>
      <c r="L65" s="48" t="n">
        <v>99.98</v>
      </c>
    </row>
  </sheetData>
  <mergeCells count="6">
    <mergeCell ref="A1:R1"/>
    <mergeCell ref="A2:R2"/>
    <mergeCell ref="A4:E4"/>
    <mergeCell ref="G4:L4"/>
    <mergeCell ref="A18:C18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5" activeCellId="0" sqref="L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6"/>
    <col collapsed="false" customWidth="true" hidden="false" outlineLevel="0" max="4" min="4" style="1" width="35"/>
    <col collapsed="false" customWidth="true" hidden="false" outlineLevel="0" max="6" min="6" style="1" width="22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0" min="10" style="1" width="28"/>
  </cols>
  <sheetData>
    <row r="1" customFormat="false" ht="37.5" hidden="false" customHeight="true" outlineLevel="0" collapsed="false">
      <c r="A1" s="2" t="s">
        <v>390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3" t="s">
        <v>391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7.5" hidden="false" customHeight="true" outlineLevel="0" collapsed="false"/>
    <row r="4" customFormat="false" ht="25.5" hidden="false" customHeight="true" outlineLevel="0" collapsed="false">
      <c r="A4" s="33" t="s">
        <v>392</v>
      </c>
      <c r="B4" s="33"/>
      <c r="C4" s="33"/>
      <c r="D4" s="33"/>
      <c r="F4" s="33" t="s">
        <v>393</v>
      </c>
      <c r="G4" s="33"/>
      <c r="H4" s="33"/>
      <c r="I4" s="33"/>
      <c r="J4" s="33"/>
    </row>
    <row r="5" customFormat="false" ht="27.75" hidden="false" customHeight="true" outlineLevel="0" collapsed="false">
      <c r="A5" s="35" t="s">
        <v>394</v>
      </c>
      <c r="B5" s="74" t="n">
        <v>114215.16</v>
      </c>
      <c r="F5" s="75" t="s">
        <v>395</v>
      </c>
      <c r="G5" s="75" t="s">
        <v>396</v>
      </c>
      <c r="H5" s="75" t="s">
        <v>397</v>
      </c>
      <c r="I5" s="75" t="s">
        <v>398</v>
      </c>
      <c r="J5" s="75" t="s">
        <v>399</v>
      </c>
    </row>
    <row r="6" customFormat="false" ht="21.75" hidden="false" customHeight="true" outlineLevel="0" collapsed="false">
      <c r="A6" s="38" t="s">
        <v>400</v>
      </c>
      <c r="B6" s="76" t="n">
        <v>88886.62</v>
      </c>
      <c r="F6" s="38" t="s">
        <v>401</v>
      </c>
      <c r="G6" s="41" t="n">
        <v>0.604388</v>
      </c>
      <c r="H6" s="26" t="s">
        <v>402</v>
      </c>
      <c r="I6" s="26" t="s">
        <v>403</v>
      </c>
      <c r="J6" s="20" t="s">
        <v>404</v>
      </c>
    </row>
    <row r="7" customFormat="false" ht="21.75" hidden="false" customHeight="true" outlineLevel="0" collapsed="false">
      <c r="A7" s="35" t="s">
        <v>405</v>
      </c>
      <c r="B7" s="77" t="n">
        <v>25328.54</v>
      </c>
      <c r="F7" s="35" t="s">
        <v>406</v>
      </c>
      <c r="G7" s="46" t="n">
        <v>0.233522</v>
      </c>
      <c r="H7" s="16" t="s">
        <v>402</v>
      </c>
      <c r="I7" s="16" t="s">
        <v>403</v>
      </c>
      <c r="J7" s="9" t="s">
        <v>404</v>
      </c>
    </row>
    <row r="8" customFormat="false" ht="21.75" hidden="false" customHeight="true" outlineLevel="0" collapsed="false">
      <c r="A8" s="38" t="s">
        <v>407</v>
      </c>
      <c r="B8" s="78" t="n">
        <v>0.221761629541998</v>
      </c>
      <c r="F8" s="38" t="s">
        <v>408</v>
      </c>
      <c r="G8" s="41" t="n">
        <v>279.251841</v>
      </c>
      <c r="H8" s="26" t="s">
        <v>402</v>
      </c>
      <c r="I8" s="26" t="s">
        <v>403</v>
      </c>
      <c r="J8" s="20" t="s">
        <v>404</v>
      </c>
    </row>
    <row r="9" customFormat="false" ht="21.75" hidden="false" customHeight="true" outlineLevel="0" collapsed="false">
      <c r="A9" s="35" t="s">
        <v>409</v>
      </c>
      <c r="B9" s="79" t="n">
        <v>305</v>
      </c>
      <c r="F9" s="35" t="s">
        <v>410</v>
      </c>
      <c r="G9" s="46" t="n">
        <v>7237.009942</v>
      </c>
      <c r="H9" s="16" t="s">
        <v>402</v>
      </c>
      <c r="I9" s="16" t="s">
        <v>403</v>
      </c>
      <c r="J9" s="9" t="s">
        <v>404</v>
      </c>
    </row>
    <row r="10" customFormat="false" ht="21.75" hidden="false" customHeight="true" outlineLevel="0" collapsed="false">
      <c r="A10" s="38" t="s">
        <v>411</v>
      </c>
      <c r="B10" s="80" t="n">
        <v>7</v>
      </c>
      <c r="F10" s="38" t="s">
        <v>412</v>
      </c>
      <c r="G10" s="41" t="n">
        <v>25.692174</v>
      </c>
      <c r="H10" s="26" t="s">
        <v>413</v>
      </c>
      <c r="I10" s="26" t="s">
        <v>403</v>
      </c>
      <c r="J10" s="20" t="s">
        <v>404</v>
      </c>
    </row>
    <row r="11" customFormat="false" ht="24" hidden="false" customHeight="true" outlineLevel="0" collapsed="false">
      <c r="A11" s="35" t="s">
        <v>414</v>
      </c>
      <c r="B11" s="81" t="n">
        <v>7407.21833333333</v>
      </c>
    </row>
    <row r="12" customFormat="false" ht="25.5" hidden="false" customHeight="true" outlineLevel="0" collapsed="false">
      <c r="A12" s="38" t="s">
        <v>415</v>
      </c>
      <c r="B12" s="76" t="n">
        <v>3465.69</v>
      </c>
      <c r="F12" s="33" t="s">
        <v>416</v>
      </c>
      <c r="G12" s="33"/>
      <c r="H12" s="33"/>
      <c r="I12" s="33"/>
      <c r="J12" s="33"/>
    </row>
    <row r="13" customFormat="false" ht="24" hidden="false" customHeight="true" outlineLevel="0" collapsed="false">
      <c r="A13" s="35" t="s">
        <v>417</v>
      </c>
      <c r="B13" s="74" t="n">
        <v>15.91</v>
      </c>
      <c r="F13" s="82" t="s">
        <v>418</v>
      </c>
      <c r="G13" s="82" t="s">
        <v>419</v>
      </c>
      <c r="H13" s="82" t="s">
        <v>420</v>
      </c>
    </row>
    <row r="14" customFormat="false" ht="21.75" hidden="false" customHeight="true" outlineLevel="0" collapsed="false">
      <c r="F14" s="38" t="s">
        <v>421</v>
      </c>
      <c r="G14" s="83" t="n">
        <v>38.31</v>
      </c>
      <c r="H14" s="84" t="n">
        <v>40.17</v>
      </c>
    </row>
    <row r="15" customFormat="false" ht="21.75" hidden="false" customHeight="true" outlineLevel="0" collapsed="false">
      <c r="A15" s="34" t="s">
        <v>422</v>
      </c>
      <c r="B15" s="34"/>
      <c r="C15" s="34"/>
      <c r="D15" s="34"/>
      <c r="F15" s="35" t="s">
        <v>423</v>
      </c>
      <c r="G15" s="85" t="n">
        <v>7158.22</v>
      </c>
      <c r="H15" s="86" t="n">
        <v>9256.85</v>
      </c>
    </row>
    <row r="16" customFormat="false" ht="21.75" hidden="false" customHeight="true" outlineLevel="0" collapsed="false">
      <c r="A16" s="37" t="s">
        <v>396</v>
      </c>
      <c r="B16" s="37" t="s">
        <v>419</v>
      </c>
      <c r="C16" s="37" t="s">
        <v>420</v>
      </c>
      <c r="D16" s="37" t="s">
        <v>373</v>
      </c>
      <c r="F16" s="38" t="s">
        <v>424</v>
      </c>
      <c r="G16" s="29" t="n">
        <v>0.0281</v>
      </c>
      <c r="H16" s="87" t="n">
        <v>0.0275</v>
      </c>
    </row>
    <row r="17" customFormat="false" ht="21.75" hidden="false" customHeight="true" outlineLevel="0" collapsed="false">
      <c r="A17" s="35" t="s">
        <v>332</v>
      </c>
      <c r="B17" s="88" t="n">
        <v>312.98</v>
      </c>
      <c r="C17" s="89" t="n">
        <v>5438.82</v>
      </c>
      <c r="D17" s="90" t="s">
        <v>425</v>
      </c>
      <c r="F17" s="35" t="s">
        <v>426</v>
      </c>
      <c r="G17" s="31" t="n">
        <v>0.1677</v>
      </c>
      <c r="H17" s="91" t="n">
        <v>0.1657</v>
      </c>
    </row>
    <row r="18" customFormat="false" ht="21.75" hidden="false" customHeight="true" outlineLevel="0" collapsed="false">
      <c r="A18" s="38" t="s">
        <v>381</v>
      </c>
      <c r="B18" s="92" t="n">
        <v>174.66</v>
      </c>
      <c r="C18" s="93" t="n">
        <v>8130.74</v>
      </c>
      <c r="D18" s="94" t="s">
        <v>427</v>
      </c>
      <c r="F18" s="38" t="s">
        <v>397</v>
      </c>
      <c r="G18" s="29" t="n">
        <v>0.60247</v>
      </c>
      <c r="H18" s="87" t="n">
        <v>0.606702</v>
      </c>
    </row>
    <row r="19" customFormat="false" ht="21.75" hidden="false" customHeight="true" outlineLevel="0" collapsed="false">
      <c r="A19" s="35" t="s">
        <v>428</v>
      </c>
      <c r="B19" s="88" t="n">
        <v>60</v>
      </c>
      <c r="C19" s="95" t="s">
        <v>413</v>
      </c>
      <c r="D19" s="90" t="s">
        <v>429</v>
      </c>
      <c r="F19" s="35" t="s">
        <v>430</v>
      </c>
      <c r="G19" s="85" t="n">
        <v>71.2295</v>
      </c>
      <c r="H19" s="86" t="n">
        <v>75.576</v>
      </c>
    </row>
    <row r="20" customFormat="false" ht="21.75" hidden="false" customHeight="true" outlineLevel="0" collapsed="false">
      <c r="A20" s="38" t="s">
        <v>338</v>
      </c>
      <c r="B20" s="92" t="n">
        <v>408.46</v>
      </c>
      <c r="C20" s="93" t="n">
        <v>3632.95</v>
      </c>
      <c r="D20" s="94" t="s">
        <v>431</v>
      </c>
      <c r="F20" s="38" t="s">
        <v>432</v>
      </c>
      <c r="G20" s="29" t="s">
        <v>433</v>
      </c>
      <c r="H20" s="87" t="s">
        <v>433</v>
      </c>
    </row>
    <row r="21" customFormat="false" ht="19.5" hidden="false" customHeight="true" outlineLevel="0" collapsed="false">
      <c r="A21" s="35" t="s">
        <v>340</v>
      </c>
      <c r="B21" s="88" t="n">
        <v>166839.41</v>
      </c>
      <c r="C21" s="89" t="n">
        <v>13198290.22</v>
      </c>
      <c r="D21" s="90" t="s">
        <v>434</v>
      </c>
    </row>
    <row r="22" customFormat="false" ht="25.5" hidden="false" customHeight="true" outlineLevel="0" collapsed="false">
      <c r="A22" s="38" t="s">
        <v>435</v>
      </c>
      <c r="B22" s="92" t="n">
        <v>130.51</v>
      </c>
      <c r="C22" s="93" t="n">
        <v>66.8</v>
      </c>
      <c r="D22" s="94" t="s">
        <v>436</v>
      </c>
      <c r="F22" s="33" t="s">
        <v>437</v>
      </c>
      <c r="G22" s="33"/>
      <c r="H22" s="33"/>
      <c r="I22" s="33"/>
      <c r="J22" s="33"/>
    </row>
    <row r="23" customFormat="false" ht="24" hidden="false" customHeight="true" outlineLevel="0" collapsed="false">
      <c r="A23" s="35" t="s">
        <v>438</v>
      </c>
      <c r="B23" s="88" t="n">
        <v>4.1171</v>
      </c>
      <c r="C23" s="89" t="n">
        <v>-0.3039</v>
      </c>
      <c r="D23" s="90" t="s">
        <v>439</v>
      </c>
      <c r="F23" s="37" t="s">
        <v>440</v>
      </c>
      <c r="G23" s="37" t="s">
        <v>441</v>
      </c>
      <c r="H23" s="37" t="s">
        <v>442</v>
      </c>
      <c r="I23" s="37" t="s">
        <v>443</v>
      </c>
      <c r="J23" s="37" t="s">
        <v>444</v>
      </c>
      <c r="K23" s="37" t="s">
        <v>445</v>
      </c>
      <c r="L23" s="37" t="s">
        <v>446</v>
      </c>
    </row>
    <row r="24" customFormat="false" ht="19.5" hidden="false" customHeight="true" outlineLevel="0" collapsed="false">
      <c r="A24" s="38" t="s">
        <v>447</v>
      </c>
      <c r="B24" s="92" t="n">
        <v>23.319</v>
      </c>
      <c r="C24" s="93" t="n">
        <v>-1.8609</v>
      </c>
      <c r="D24" s="94" t="s">
        <v>448</v>
      </c>
      <c r="F24" s="55" t="s">
        <v>449</v>
      </c>
      <c r="G24" s="96" t="n">
        <v>1</v>
      </c>
      <c r="H24" s="97" t="n">
        <v>7466.81</v>
      </c>
      <c r="I24" s="97" t="n">
        <v>9793.7</v>
      </c>
      <c r="J24" s="22" t="n">
        <v>2326.89</v>
      </c>
      <c r="K24" s="97" t="n">
        <v>7196.52</v>
      </c>
      <c r="L24" s="98"/>
    </row>
    <row r="25" customFormat="false" ht="19.5" hidden="false" customHeight="true" outlineLevel="0" collapsed="false">
      <c r="A25" s="35" t="s">
        <v>450</v>
      </c>
      <c r="B25" s="88" t="n">
        <v>15.91</v>
      </c>
      <c r="C25" s="89" t="n">
        <v>627.94</v>
      </c>
      <c r="D25" s="90" t="s">
        <v>451</v>
      </c>
      <c r="F25" s="99" t="s">
        <v>452</v>
      </c>
      <c r="G25" s="100" t="n">
        <v>2</v>
      </c>
      <c r="H25" s="101" t="n">
        <v>6751.36</v>
      </c>
      <c r="I25" s="101" t="n">
        <v>8721.54</v>
      </c>
      <c r="J25" s="12" t="n">
        <v>1970.18</v>
      </c>
      <c r="K25" s="101" t="n">
        <v>7234.83</v>
      </c>
      <c r="L25" s="102"/>
    </row>
    <row r="26" customFormat="false" ht="19.5" hidden="false" customHeight="true" outlineLevel="0" collapsed="false">
      <c r="A26" s="38" t="s">
        <v>453</v>
      </c>
      <c r="B26" s="92" t="n">
        <v>3465.69</v>
      </c>
      <c r="C26" s="93" t="n">
        <v>8989.72</v>
      </c>
      <c r="D26" s="94" t="s">
        <v>454</v>
      </c>
      <c r="F26" s="55" t="s">
        <v>455</v>
      </c>
      <c r="G26" s="96" t="n">
        <v>3</v>
      </c>
      <c r="H26" s="97" t="n">
        <v>6513.33</v>
      </c>
      <c r="I26" s="97" t="n">
        <v>8608.49</v>
      </c>
      <c r="J26" s="22" t="n">
        <v>2095.16</v>
      </c>
      <c r="K26" s="97" t="n">
        <v>7273.14</v>
      </c>
      <c r="L26" s="97" t="n">
        <v>6910.5</v>
      </c>
    </row>
    <row r="27" customFormat="false" ht="19.5" hidden="false" customHeight="true" outlineLevel="0" collapsed="false">
      <c r="A27" s="35" t="s">
        <v>456</v>
      </c>
      <c r="B27" s="88" t="n">
        <v>3449.78</v>
      </c>
      <c r="C27" s="89" t="n">
        <v>8361.78</v>
      </c>
      <c r="D27" s="90" t="s">
        <v>457</v>
      </c>
      <c r="F27" s="99" t="s">
        <v>458</v>
      </c>
      <c r="G27" s="100" t="n">
        <v>4</v>
      </c>
      <c r="H27" s="101" t="n">
        <v>7346.32</v>
      </c>
      <c r="I27" s="101" t="n">
        <v>9813.23</v>
      </c>
      <c r="J27" s="12" t="n">
        <v>2466.91</v>
      </c>
      <c r="K27" s="101" t="n">
        <v>7311.45</v>
      </c>
      <c r="L27" s="101" t="n">
        <v>6870.34</v>
      </c>
    </row>
    <row r="28" customFormat="false" ht="19.5" hidden="false" customHeight="true" outlineLevel="0" collapsed="false">
      <c r="A28" s="38" t="s">
        <v>459</v>
      </c>
      <c r="B28" s="92" t="n">
        <v>84.92</v>
      </c>
      <c r="C28" s="93" t="n">
        <v>1205.2</v>
      </c>
      <c r="D28" s="94" t="s">
        <v>460</v>
      </c>
      <c r="F28" s="55" t="s">
        <v>461</v>
      </c>
      <c r="G28" s="96" t="n">
        <v>5</v>
      </c>
      <c r="H28" s="97" t="n">
        <v>7332.06</v>
      </c>
      <c r="I28" s="97" t="n">
        <v>9421.72</v>
      </c>
      <c r="J28" s="22" t="n">
        <v>2089.66</v>
      </c>
      <c r="K28" s="97" t="n">
        <v>7349.76</v>
      </c>
      <c r="L28" s="97" t="n">
        <v>7063.9</v>
      </c>
    </row>
    <row r="29" customFormat="false" ht="19.5" hidden="false" customHeight="true" outlineLevel="0" collapsed="false">
      <c r="A29" s="35" t="s">
        <v>462</v>
      </c>
      <c r="B29" s="88" t="n">
        <v>433.05</v>
      </c>
      <c r="C29" s="89" t="n">
        <v>8654.51</v>
      </c>
      <c r="D29" s="90" t="s">
        <v>463</v>
      </c>
      <c r="F29" s="99" t="s">
        <v>464</v>
      </c>
      <c r="G29" s="100" t="n">
        <v>6</v>
      </c>
      <c r="H29" s="101" t="n">
        <v>9143.09</v>
      </c>
      <c r="I29" s="101" t="n">
        <v>9953.35</v>
      </c>
      <c r="J29" s="12" t="n">
        <v>810.26</v>
      </c>
      <c r="K29" s="101" t="n">
        <v>7388.06</v>
      </c>
      <c r="L29" s="101" t="n">
        <v>7940.49</v>
      </c>
    </row>
    <row r="30" customFormat="false" ht="19.5" hidden="false" customHeight="true" outlineLevel="0" collapsed="false">
      <c r="A30" s="38" t="s">
        <v>465</v>
      </c>
      <c r="B30" s="92" t="n">
        <v>348.13</v>
      </c>
      <c r="C30" s="93" t="n">
        <v>7449.31</v>
      </c>
      <c r="D30" s="94" t="s">
        <v>466</v>
      </c>
      <c r="F30" s="55" t="s">
        <v>467</v>
      </c>
      <c r="G30" s="96" t="n">
        <v>7</v>
      </c>
      <c r="H30" s="97" t="n">
        <v>7653.78</v>
      </c>
      <c r="I30" s="97" t="n">
        <v>11395.6</v>
      </c>
      <c r="J30" s="22" t="n">
        <v>3741.82</v>
      </c>
      <c r="K30" s="97" t="n">
        <v>7426.37</v>
      </c>
      <c r="L30" s="97" t="n">
        <v>8042.98</v>
      </c>
    </row>
    <row r="31" customFormat="false" ht="19.5" hidden="false" customHeight="true" outlineLevel="0" collapsed="false">
      <c r="A31" s="35" t="s">
        <v>430</v>
      </c>
      <c r="B31" s="88" t="n">
        <v>24.2804</v>
      </c>
      <c r="C31" s="89" t="n">
        <v>812.3512</v>
      </c>
      <c r="D31" s="90" t="s">
        <v>468</v>
      </c>
      <c r="F31" s="99" t="s">
        <v>469</v>
      </c>
      <c r="G31" s="100" t="n">
        <v>8</v>
      </c>
      <c r="H31" s="101" t="n">
        <v>7120.22</v>
      </c>
      <c r="I31" s="101" t="n">
        <v>7892.46</v>
      </c>
      <c r="J31" s="12" t="n">
        <v>772.24</v>
      </c>
      <c r="K31" s="101" t="n">
        <v>7464.68</v>
      </c>
      <c r="L31" s="101" t="n">
        <v>7972.36</v>
      </c>
    </row>
    <row r="32" customFormat="false" ht="19.5" hidden="false" customHeight="true" outlineLevel="0" collapsed="false">
      <c r="A32" s="38" t="s">
        <v>470</v>
      </c>
      <c r="B32" s="92" t="n">
        <v>265.39</v>
      </c>
      <c r="C32" s="103" t="s">
        <v>413</v>
      </c>
      <c r="D32" s="94" t="s">
        <v>471</v>
      </c>
      <c r="F32" s="55" t="s">
        <v>472</v>
      </c>
      <c r="G32" s="96" t="n">
        <v>9</v>
      </c>
      <c r="H32" s="97" t="n">
        <v>6541.11</v>
      </c>
      <c r="I32" s="97" t="n">
        <v>9617.66</v>
      </c>
      <c r="J32" s="22" t="n">
        <v>3076.55</v>
      </c>
      <c r="K32" s="97" t="n">
        <v>7502.99</v>
      </c>
      <c r="L32" s="97" t="n">
        <v>7105.04</v>
      </c>
    </row>
    <row r="33" customFormat="false" ht="19.5" hidden="false" customHeight="true" outlineLevel="0" collapsed="false">
      <c r="A33" s="35" t="s">
        <v>473</v>
      </c>
      <c r="B33" s="88" t="n">
        <v>360.57</v>
      </c>
      <c r="C33" s="95" t="s">
        <v>413</v>
      </c>
      <c r="D33" s="90" t="s">
        <v>474</v>
      </c>
      <c r="F33" s="99" t="s">
        <v>475</v>
      </c>
      <c r="G33" s="100" t="n">
        <v>10</v>
      </c>
      <c r="H33" s="101" t="n">
        <v>8612.46</v>
      </c>
      <c r="I33" s="101" t="n">
        <v>9557.29</v>
      </c>
      <c r="J33" s="12" t="n">
        <v>944.83</v>
      </c>
      <c r="K33" s="101" t="n">
        <v>7541.3</v>
      </c>
      <c r="L33" s="101" t="n">
        <v>7424.6</v>
      </c>
    </row>
    <row r="34" customFormat="false" ht="19.5" hidden="false" customHeight="true" outlineLevel="0" collapsed="false">
      <c r="F34" s="55" t="s">
        <v>476</v>
      </c>
      <c r="G34" s="96" t="n">
        <v>11</v>
      </c>
      <c r="H34" s="97" t="n">
        <v>6578.33</v>
      </c>
      <c r="I34" s="97" t="n">
        <v>9323.8</v>
      </c>
      <c r="J34" s="22" t="n">
        <v>2745.47</v>
      </c>
      <c r="K34" s="97" t="n">
        <v>7579.6</v>
      </c>
      <c r="L34" s="97" t="n">
        <v>7243.97</v>
      </c>
    </row>
    <row r="35" customFormat="false" ht="19.5" hidden="false" customHeight="true" outlineLevel="0" collapsed="false">
      <c r="F35" s="99" t="s">
        <v>477</v>
      </c>
      <c r="G35" s="100" t="n">
        <v>12</v>
      </c>
      <c r="H35" s="101" t="n">
        <v>7827.75</v>
      </c>
      <c r="I35" s="101" t="n">
        <v>10116.32</v>
      </c>
      <c r="J35" s="12" t="n">
        <v>2288.57</v>
      </c>
      <c r="K35" s="101" t="n">
        <v>7617.91</v>
      </c>
      <c r="L35" s="101" t="n">
        <v>7672.85</v>
      </c>
    </row>
  </sheetData>
  <mergeCells count="7">
    <mergeCell ref="A1:P1"/>
    <mergeCell ref="A2:P2"/>
    <mergeCell ref="A4:D4"/>
    <mergeCell ref="F4:J4"/>
    <mergeCell ref="F12:J12"/>
    <mergeCell ref="A15:D15"/>
    <mergeCell ref="F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8" activeCellId="0" sqref="L4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.71"/>
    <col collapsed="false" customWidth="true" hidden="false" outlineLevel="0" max="2" min="2" style="1" width="13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7" min="6" style="1" width="10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1" min="10" style="1" width="12"/>
    <col collapsed="false" customWidth="true" hidden="false" outlineLevel="0" max="12" min="12" style="1" width="25"/>
    <col collapsed="false" customWidth="true" hidden="false" outlineLevel="0" max="14" min="14" style="1" width="14"/>
    <col collapsed="false" customWidth="true" hidden="false" outlineLevel="0" max="15" min="15" style="1" width="12"/>
  </cols>
  <sheetData>
    <row r="1" customFormat="false" ht="37.5" hidden="false" customHeight="true" outlineLevel="0" collapsed="false">
      <c r="A1" s="2" t="s">
        <v>478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3" t="s">
        <v>479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7.5" hidden="false" customHeight="true" outlineLevel="0" collapsed="false"/>
    <row r="4" customFormat="false" ht="15" hidden="false" customHeight="true" outlineLevel="0" collapsed="false">
      <c r="A4" s="33" t="s">
        <v>480</v>
      </c>
      <c r="B4" s="33"/>
      <c r="C4" s="33"/>
      <c r="D4" s="33"/>
      <c r="E4" s="33"/>
      <c r="F4" s="33"/>
    </row>
    <row r="5" customFormat="false" ht="21.75" hidden="false" customHeight="true" outlineLevel="0" collapsed="false">
      <c r="A5" s="35" t="s">
        <v>481</v>
      </c>
      <c r="B5" s="104" t="n">
        <v>312.98</v>
      </c>
    </row>
    <row r="6" customFormat="false" ht="21.75" hidden="false" customHeight="true" outlineLevel="0" collapsed="false">
      <c r="A6" s="38" t="s">
        <v>338</v>
      </c>
      <c r="B6" s="105" t="n">
        <v>408.46</v>
      </c>
    </row>
    <row r="7" customFormat="false" ht="21.75" hidden="false" customHeight="true" outlineLevel="0" collapsed="false">
      <c r="A7" s="35" t="s">
        <v>482</v>
      </c>
      <c r="B7" s="104" t="n">
        <v>-503.94</v>
      </c>
    </row>
    <row r="8" customFormat="false" ht="21.75" hidden="false" customHeight="true" outlineLevel="0" collapsed="false">
      <c r="A8" s="38" t="s">
        <v>483</v>
      </c>
      <c r="B8" s="105" t="n">
        <v>1129.9</v>
      </c>
    </row>
    <row r="9" customFormat="false" ht="21.75" hidden="false" customHeight="true" outlineLevel="0" collapsed="false">
      <c r="A9" s="35" t="s">
        <v>484</v>
      </c>
      <c r="B9" s="104" t="n">
        <v>1538.36</v>
      </c>
    </row>
    <row r="10" customFormat="false" ht="21.75" hidden="false" customHeight="true" outlineLevel="0" collapsed="false">
      <c r="A10" s="38" t="s">
        <v>485</v>
      </c>
      <c r="B10" s="106" t="n">
        <v>7</v>
      </c>
    </row>
    <row r="11" customFormat="false" ht="21.75" hidden="false" customHeight="true" outlineLevel="0" collapsed="false">
      <c r="A11" s="35" t="s">
        <v>486</v>
      </c>
      <c r="B11" s="107" t="n">
        <v>2.46</v>
      </c>
    </row>
    <row r="13" customFormat="false" ht="25.5" hidden="false" customHeight="true" outlineLevel="0" collapsed="false">
      <c r="A13" s="33" t="s">
        <v>487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</row>
    <row r="14" customFormat="false" ht="30" hidden="false" customHeight="true" outlineLevel="0" collapsed="false">
      <c r="A14" s="37" t="s">
        <v>488</v>
      </c>
      <c r="B14" s="37" t="s">
        <v>3</v>
      </c>
      <c r="C14" s="37" t="s">
        <v>4</v>
      </c>
      <c r="D14" s="37" t="s">
        <v>5</v>
      </c>
      <c r="E14" s="37" t="s">
        <v>8</v>
      </c>
      <c r="F14" s="37" t="s">
        <v>14</v>
      </c>
      <c r="G14" s="37" t="s">
        <v>489</v>
      </c>
      <c r="H14" s="37" t="s">
        <v>351</v>
      </c>
      <c r="I14" s="37" t="s">
        <v>490</v>
      </c>
      <c r="J14" s="37" t="s">
        <v>491</v>
      </c>
      <c r="K14" s="37" t="s">
        <v>492</v>
      </c>
      <c r="L14" s="37" t="s">
        <v>493</v>
      </c>
      <c r="N14" s="53" t="s">
        <v>8</v>
      </c>
      <c r="O14" s="53" t="s">
        <v>14</v>
      </c>
    </row>
    <row r="15" customFormat="false" ht="15.75" hidden="false" customHeight="true" outlineLevel="0" collapsed="false">
      <c r="A15" s="108" t="n">
        <v>1</v>
      </c>
      <c r="B15" s="109" t="s">
        <v>215</v>
      </c>
      <c r="C15" s="110" t="s">
        <v>120</v>
      </c>
      <c r="D15" s="108" t="s">
        <v>85</v>
      </c>
      <c r="E15" s="111" t="n">
        <v>3465.69</v>
      </c>
      <c r="F15" s="112" t="n">
        <v>7.719</v>
      </c>
      <c r="G15" s="113" t="n">
        <v>7.719</v>
      </c>
      <c r="H15" s="114" t="s">
        <v>494</v>
      </c>
      <c r="I15" s="115" t="n">
        <v>3152.71</v>
      </c>
      <c r="J15" s="116" t="n">
        <v>1007.32</v>
      </c>
      <c r="K15" s="117" t="s">
        <v>494</v>
      </c>
      <c r="L15" s="118" t="s">
        <v>495</v>
      </c>
      <c r="N15" s="119" t="n">
        <v>15.91</v>
      </c>
      <c r="O15" s="120" t="n">
        <v>-0.7273</v>
      </c>
    </row>
    <row r="16" customFormat="false" ht="15.75" hidden="false" customHeight="true" outlineLevel="0" collapsed="false">
      <c r="A16" s="108" t="n">
        <v>2</v>
      </c>
      <c r="B16" s="109" t="s">
        <v>221</v>
      </c>
      <c r="C16" s="110" t="s">
        <v>64</v>
      </c>
      <c r="D16" s="108" t="s">
        <v>41</v>
      </c>
      <c r="E16" s="111" t="n">
        <v>3002.05</v>
      </c>
      <c r="F16" s="112" t="n">
        <v>6.583</v>
      </c>
      <c r="G16" s="113" t="n">
        <v>6.583</v>
      </c>
      <c r="H16" s="114" t="s">
        <v>494</v>
      </c>
      <c r="I16" s="115" t="n">
        <v>2689.07</v>
      </c>
      <c r="J16" s="116" t="n">
        <v>859.18</v>
      </c>
      <c r="K16" s="117" t="s">
        <v>494</v>
      </c>
      <c r="L16" s="118" t="s">
        <v>495</v>
      </c>
      <c r="N16" s="119" t="n">
        <v>16.4</v>
      </c>
      <c r="O16" s="120" t="n">
        <v>-0.7261</v>
      </c>
    </row>
    <row r="17" customFormat="false" ht="15.75" hidden="false" customHeight="true" outlineLevel="0" collapsed="false">
      <c r="A17" s="108" t="n">
        <v>3</v>
      </c>
      <c r="B17" s="109" t="s">
        <v>243</v>
      </c>
      <c r="C17" s="110" t="s">
        <v>64</v>
      </c>
      <c r="D17" s="108" t="s">
        <v>41</v>
      </c>
      <c r="E17" s="111" t="n">
        <v>2649.39</v>
      </c>
      <c r="F17" s="112" t="n">
        <v>5.72</v>
      </c>
      <c r="G17" s="113" t="n">
        <v>5.72</v>
      </c>
      <c r="H17" s="114" t="s">
        <v>494</v>
      </c>
      <c r="I17" s="115" t="n">
        <v>2336.41</v>
      </c>
      <c r="J17" s="116" t="n">
        <v>746.5</v>
      </c>
      <c r="K17" s="117" t="s">
        <v>494</v>
      </c>
      <c r="L17" s="118" t="s">
        <v>495</v>
      </c>
      <c r="N17" s="119" t="n">
        <v>17.33</v>
      </c>
      <c r="O17" s="120" t="n">
        <v>-0.7238</v>
      </c>
    </row>
    <row r="18" customFormat="false" ht="15.75" hidden="false" customHeight="true" outlineLevel="0" collapsed="false">
      <c r="A18" s="108" t="n">
        <v>4</v>
      </c>
      <c r="B18" s="109" t="s">
        <v>305</v>
      </c>
      <c r="C18" s="110" t="s">
        <v>199</v>
      </c>
      <c r="D18" s="108" t="s">
        <v>41</v>
      </c>
      <c r="E18" s="111" t="n">
        <v>2408.29</v>
      </c>
      <c r="F18" s="112" t="n">
        <v>5.13</v>
      </c>
      <c r="G18" s="113" t="n">
        <v>5.13</v>
      </c>
      <c r="H18" s="114" t="s">
        <v>494</v>
      </c>
      <c r="I18" s="115" t="n">
        <v>2095.31</v>
      </c>
      <c r="J18" s="116" t="n">
        <v>669.47</v>
      </c>
      <c r="K18" s="117" t="s">
        <v>494</v>
      </c>
      <c r="L18" s="118" t="s">
        <v>495</v>
      </c>
      <c r="N18" s="119" t="n">
        <v>26.46</v>
      </c>
      <c r="O18" s="120" t="n">
        <v>-0.7015</v>
      </c>
    </row>
    <row r="19" customFormat="false" ht="15.75" hidden="false" customHeight="true" outlineLevel="0" collapsed="false">
      <c r="A19" s="108" t="n">
        <v>5</v>
      </c>
      <c r="B19" s="109" t="s">
        <v>265</v>
      </c>
      <c r="C19" s="110" t="s">
        <v>113</v>
      </c>
      <c r="D19" s="108" t="s">
        <v>41</v>
      </c>
      <c r="E19" s="111" t="n">
        <v>1630.39</v>
      </c>
      <c r="F19" s="112" t="n">
        <v>3.225</v>
      </c>
      <c r="G19" s="113" t="n">
        <v>3.225</v>
      </c>
      <c r="H19" s="114" t="s">
        <v>494</v>
      </c>
      <c r="I19" s="115" t="n">
        <v>1317.41</v>
      </c>
      <c r="J19" s="116" t="n">
        <v>420.92</v>
      </c>
      <c r="K19" s="117" t="s">
        <v>494</v>
      </c>
      <c r="L19" s="118" t="s">
        <v>495</v>
      </c>
      <c r="N19" s="119" t="n">
        <v>27.47</v>
      </c>
      <c r="O19" s="120" t="n">
        <v>-0.699</v>
      </c>
    </row>
    <row r="20" customFormat="false" ht="15.75" hidden="false" customHeight="true" outlineLevel="0" collapsed="false">
      <c r="A20" s="108" t="n">
        <v>6</v>
      </c>
      <c r="B20" s="109" t="s">
        <v>198</v>
      </c>
      <c r="C20" s="110" t="s">
        <v>199</v>
      </c>
      <c r="D20" s="108" t="s">
        <v>41</v>
      </c>
      <c r="E20" s="111" t="n">
        <v>1278.63</v>
      </c>
      <c r="F20" s="112" t="n">
        <v>2.364</v>
      </c>
      <c r="G20" s="113" t="n">
        <v>2.364</v>
      </c>
      <c r="H20" s="114" t="s">
        <v>496</v>
      </c>
      <c r="I20" s="115" t="n">
        <v>965.65</v>
      </c>
      <c r="J20" s="116" t="n">
        <v>308.53</v>
      </c>
      <c r="K20" s="117" t="s">
        <v>496</v>
      </c>
      <c r="L20" s="118" t="s">
        <v>497</v>
      </c>
      <c r="N20" s="119" t="n">
        <v>31.79</v>
      </c>
      <c r="O20" s="120" t="n">
        <v>-0.6884</v>
      </c>
    </row>
    <row r="21" customFormat="false" ht="15.75" hidden="false" customHeight="true" outlineLevel="0" collapsed="false">
      <c r="A21" s="108" t="n">
        <v>7</v>
      </c>
      <c r="B21" s="109" t="s">
        <v>241</v>
      </c>
      <c r="C21" s="110" t="s">
        <v>131</v>
      </c>
      <c r="D21" s="108" t="s">
        <v>52</v>
      </c>
      <c r="E21" s="111" t="n">
        <v>1191.19</v>
      </c>
      <c r="F21" s="112" t="n">
        <v>2.15</v>
      </c>
      <c r="G21" s="113" t="n">
        <v>2.15</v>
      </c>
      <c r="H21" s="114" t="s">
        <v>496</v>
      </c>
      <c r="I21" s="115" t="n">
        <v>878.21</v>
      </c>
      <c r="J21" s="116" t="n">
        <v>280.59</v>
      </c>
      <c r="K21" s="117" t="s">
        <v>496</v>
      </c>
      <c r="L21" s="118" t="s">
        <v>497</v>
      </c>
      <c r="N21" s="119" t="n">
        <v>32.45</v>
      </c>
      <c r="O21" s="120" t="n">
        <v>-0.6868</v>
      </c>
    </row>
    <row r="22" customFormat="false" ht="15.75" hidden="false" customHeight="true" outlineLevel="0" collapsed="false">
      <c r="A22" s="121" t="n">
        <v>8</v>
      </c>
      <c r="B22" s="122" t="s">
        <v>242</v>
      </c>
      <c r="C22" s="123" t="s">
        <v>55</v>
      </c>
      <c r="D22" s="121" t="s">
        <v>27</v>
      </c>
      <c r="E22" s="124" t="n">
        <v>1122.17</v>
      </c>
      <c r="F22" s="125" t="n">
        <v>1.981</v>
      </c>
      <c r="G22" s="126" t="n">
        <v>1.981</v>
      </c>
      <c r="H22" s="127" t="s">
        <v>498</v>
      </c>
      <c r="I22" s="128" t="n">
        <v>809.19</v>
      </c>
      <c r="J22" s="129" t="n">
        <v>258.54</v>
      </c>
      <c r="K22" s="130" t="s">
        <v>498</v>
      </c>
      <c r="L22" s="131" t="s">
        <v>499</v>
      </c>
      <c r="N22" s="119" t="n">
        <v>34.33</v>
      </c>
      <c r="O22" s="120" t="n">
        <v>-0.6822</v>
      </c>
    </row>
    <row r="23" customFormat="false" ht="15.75" hidden="false" customHeight="true" outlineLevel="0" collapsed="false">
      <c r="A23" s="121" t="n">
        <v>9</v>
      </c>
      <c r="B23" s="122" t="s">
        <v>182</v>
      </c>
      <c r="C23" s="123" t="s">
        <v>40</v>
      </c>
      <c r="D23" s="121" t="s">
        <v>41</v>
      </c>
      <c r="E23" s="124" t="n">
        <v>1097.73</v>
      </c>
      <c r="F23" s="125" t="n">
        <v>1.921</v>
      </c>
      <c r="G23" s="126" t="n">
        <v>1.921</v>
      </c>
      <c r="H23" s="127" t="s">
        <v>498</v>
      </c>
      <c r="I23" s="128" t="n">
        <v>784.75</v>
      </c>
      <c r="J23" s="129" t="n">
        <v>250.73</v>
      </c>
      <c r="K23" s="130" t="s">
        <v>498</v>
      </c>
      <c r="L23" s="131" t="s">
        <v>499</v>
      </c>
      <c r="N23" s="119" t="n">
        <v>34.54</v>
      </c>
      <c r="O23" s="120" t="n">
        <v>-0.6817</v>
      </c>
    </row>
    <row r="24" customFormat="false" ht="15.75" hidden="false" customHeight="true" outlineLevel="0" collapsed="false">
      <c r="A24" s="121" t="n">
        <v>10</v>
      </c>
      <c r="B24" s="122" t="s">
        <v>168</v>
      </c>
      <c r="C24" s="123" t="s">
        <v>64</v>
      </c>
      <c r="D24" s="121" t="s">
        <v>41</v>
      </c>
      <c r="E24" s="124" t="n">
        <v>1069.67</v>
      </c>
      <c r="F24" s="125" t="n">
        <v>1.853</v>
      </c>
      <c r="G24" s="126" t="n">
        <v>1.853</v>
      </c>
      <c r="H24" s="127" t="s">
        <v>498</v>
      </c>
      <c r="I24" s="128" t="n">
        <v>756.69</v>
      </c>
      <c r="J24" s="129" t="n">
        <v>241.77</v>
      </c>
      <c r="K24" s="130" t="s">
        <v>498</v>
      </c>
      <c r="L24" s="131" t="s">
        <v>499</v>
      </c>
      <c r="N24" s="119" t="n">
        <v>34.91</v>
      </c>
      <c r="O24" s="120" t="n">
        <v>-0.6808</v>
      </c>
    </row>
    <row r="25" customFormat="false" ht="15.75" hidden="false" customHeight="true" outlineLevel="0" collapsed="false">
      <c r="A25" s="121" t="n">
        <v>11</v>
      </c>
      <c r="B25" s="122" t="s">
        <v>284</v>
      </c>
      <c r="C25" s="123" t="s">
        <v>54</v>
      </c>
      <c r="D25" s="121" t="s">
        <v>41</v>
      </c>
      <c r="E25" s="124" t="n">
        <v>1064.37</v>
      </c>
      <c r="F25" s="125" t="n">
        <v>1.84</v>
      </c>
      <c r="G25" s="126" t="n">
        <v>1.84</v>
      </c>
      <c r="H25" s="127" t="s">
        <v>498</v>
      </c>
      <c r="I25" s="128" t="n">
        <v>751.39</v>
      </c>
      <c r="J25" s="129" t="n">
        <v>240.07</v>
      </c>
      <c r="K25" s="130" t="s">
        <v>498</v>
      </c>
      <c r="L25" s="131" t="s">
        <v>499</v>
      </c>
      <c r="N25" s="119" t="n">
        <v>37.08</v>
      </c>
      <c r="O25" s="120" t="n">
        <v>-0.6755</v>
      </c>
    </row>
    <row r="26" customFormat="false" ht="15.75" hidden="false" customHeight="true" outlineLevel="0" collapsed="false">
      <c r="A26" s="121" t="n">
        <v>12</v>
      </c>
      <c r="B26" s="122" t="s">
        <v>158</v>
      </c>
      <c r="C26" s="123" t="s">
        <v>92</v>
      </c>
      <c r="D26" s="121" t="s">
        <v>85</v>
      </c>
      <c r="E26" s="124" t="n">
        <v>1023.54</v>
      </c>
      <c r="F26" s="125" t="n">
        <v>1.74</v>
      </c>
      <c r="G26" s="126" t="n">
        <v>1.74</v>
      </c>
      <c r="H26" s="127" t="s">
        <v>498</v>
      </c>
      <c r="I26" s="128" t="n">
        <v>710.56</v>
      </c>
      <c r="J26" s="129" t="n">
        <v>227.03</v>
      </c>
      <c r="K26" s="130" t="s">
        <v>498</v>
      </c>
      <c r="L26" s="131" t="s">
        <v>499</v>
      </c>
      <c r="N26" s="119" t="n">
        <v>37.16</v>
      </c>
      <c r="O26" s="120" t="n">
        <v>-0.6753</v>
      </c>
    </row>
    <row r="27" customFormat="false" ht="15.75" hidden="false" customHeight="true" outlineLevel="0" collapsed="false">
      <c r="A27" s="121" t="n">
        <v>13</v>
      </c>
      <c r="B27" s="122" t="s">
        <v>197</v>
      </c>
      <c r="C27" s="123" t="s">
        <v>180</v>
      </c>
      <c r="D27" s="121" t="s">
        <v>85</v>
      </c>
      <c r="E27" s="124" t="n">
        <v>991.96</v>
      </c>
      <c r="F27" s="125" t="n">
        <v>1.662</v>
      </c>
      <c r="G27" s="126" t="n">
        <v>1.662</v>
      </c>
      <c r="H27" s="127" t="s">
        <v>498</v>
      </c>
      <c r="I27" s="128" t="n">
        <v>678.98</v>
      </c>
      <c r="J27" s="129" t="n">
        <v>216.94</v>
      </c>
      <c r="K27" s="130" t="s">
        <v>498</v>
      </c>
      <c r="L27" s="131" t="s">
        <v>499</v>
      </c>
      <c r="N27" s="119" t="n">
        <v>38.08</v>
      </c>
      <c r="O27" s="120" t="n">
        <v>-0.673</v>
      </c>
    </row>
    <row r="28" customFormat="false" ht="15.75" hidden="false" customHeight="true" outlineLevel="0" collapsed="false">
      <c r="A28" s="121" t="n">
        <v>14</v>
      </c>
      <c r="B28" s="122" t="s">
        <v>112</v>
      </c>
      <c r="C28" s="123" t="s">
        <v>113</v>
      </c>
      <c r="D28" s="121" t="s">
        <v>41</v>
      </c>
      <c r="E28" s="124" t="n">
        <v>944.42</v>
      </c>
      <c r="F28" s="125" t="n">
        <v>1.546</v>
      </c>
      <c r="G28" s="126" t="n">
        <v>1.546</v>
      </c>
      <c r="H28" s="127" t="s">
        <v>498</v>
      </c>
      <c r="I28" s="128" t="n">
        <v>631.44</v>
      </c>
      <c r="J28" s="129" t="n">
        <v>201.75</v>
      </c>
      <c r="K28" s="130" t="s">
        <v>498</v>
      </c>
      <c r="L28" s="131" t="s">
        <v>499</v>
      </c>
      <c r="N28" s="119" t="n">
        <v>38.32</v>
      </c>
      <c r="O28" s="120" t="n">
        <v>-0.6724</v>
      </c>
    </row>
    <row r="29" customFormat="false" ht="15.75" hidden="false" customHeight="true" outlineLevel="0" collapsed="false">
      <c r="N29" s="119" t="n">
        <v>40.89</v>
      </c>
      <c r="O29" s="120" t="n">
        <v>-0.6661</v>
      </c>
    </row>
    <row r="30" customFormat="false" ht="15.75" hidden="false" customHeight="true" outlineLevel="0" collapsed="false">
      <c r="N30" s="119" t="n">
        <v>41.18</v>
      </c>
      <c r="O30" s="120" t="n">
        <v>-0.6654</v>
      </c>
    </row>
    <row r="31" customFormat="false" ht="15.75" hidden="false" customHeight="true" outlineLevel="0" collapsed="false">
      <c r="N31" s="119" t="n">
        <v>41.91</v>
      </c>
      <c r="O31" s="120" t="n">
        <v>-0.6636</v>
      </c>
    </row>
    <row r="32" customFormat="false" ht="15.75" hidden="false" customHeight="true" outlineLevel="0" collapsed="false">
      <c r="N32" s="119" t="n">
        <v>43.95</v>
      </c>
      <c r="O32" s="120" t="n">
        <v>-0.6586</v>
      </c>
    </row>
    <row r="33" customFormat="false" ht="15.75" hidden="false" customHeight="true" outlineLevel="0" collapsed="false">
      <c r="N33" s="119" t="n">
        <v>44.06</v>
      </c>
      <c r="O33" s="120" t="n">
        <v>-0.6584</v>
      </c>
    </row>
    <row r="34" customFormat="false" ht="15.75" hidden="false" customHeight="true" outlineLevel="0" collapsed="false">
      <c r="N34" s="119" t="n">
        <v>44.12</v>
      </c>
      <c r="O34" s="120" t="n">
        <v>-0.6582</v>
      </c>
    </row>
    <row r="35" customFormat="false" ht="15.75" hidden="false" customHeight="true" outlineLevel="0" collapsed="false">
      <c r="N35" s="119" t="n">
        <v>44.13</v>
      </c>
      <c r="O35" s="120" t="n">
        <v>-0.6582</v>
      </c>
    </row>
    <row r="36" customFormat="false" ht="15.75" hidden="false" customHeight="true" outlineLevel="0" collapsed="false">
      <c r="N36" s="119" t="n">
        <v>47.25</v>
      </c>
      <c r="O36" s="120" t="n">
        <v>-0.6506</v>
      </c>
    </row>
    <row r="37" customFormat="false" ht="15.75" hidden="false" customHeight="true" outlineLevel="0" collapsed="false">
      <c r="N37" s="119" t="n">
        <v>49.56</v>
      </c>
      <c r="O37" s="120" t="n">
        <v>-0.6449</v>
      </c>
    </row>
    <row r="38" customFormat="false" ht="15.75" hidden="false" customHeight="true" outlineLevel="0" collapsed="false">
      <c r="N38" s="119" t="n">
        <v>50.32</v>
      </c>
      <c r="O38" s="120" t="n">
        <v>-0.6431</v>
      </c>
    </row>
    <row r="39" customFormat="false" ht="15.75" hidden="false" customHeight="true" outlineLevel="0" collapsed="false">
      <c r="N39" s="119" t="n">
        <v>52.77</v>
      </c>
      <c r="O39" s="120" t="n">
        <v>-0.6371</v>
      </c>
    </row>
    <row r="40" customFormat="false" ht="15.75" hidden="false" customHeight="true" outlineLevel="0" collapsed="false">
      <c r="N40" s="119" t="n">
        <v>54.13</v>
      </c>
      <c r="O40" s="120" t="n">
        <v>-0.6337</v>
      </c>
    </row>
    <row r="41" customFormat="false" ht="15.75" hidden="false" customHeight="true" outlineLevel="0" collapsed="false">
      <c r="N41" s="119" t="n">
        <v>54.33</v>
      </c>
      <c r="O41" s="120" t="n">
        <v>-0.6332</v>
      </c>
    </row>
    <row r="42" customFormat="false" ht="15.75" hidden="false" customHeight="true" outlineLevel="0" collapsed="false">
      <c r="N42" s="119" t="n">
        <v>55.52</v>
      </c>
      <c r="O42" s="120" t="n">
        <v>-0.6303</v>
      </c>
    </row>
    <row r="43" customFormat="false" ht="15.75" hidden="false" customHeight="true" outlineLevel="0" collapsed="false">
      <c r="N43" s="119" t="n">
        <v>55.69</v>
      </c>
      <c r="O43" s="120" t="n">
        <v>-0.6299</v>
      </c>
    </row>
    <row r="44" customFormat="false" ht="15.75" hidden="false" customHeight="true" outlineLevel="0" collapsed="false">
      <c r="N44" s="119" t="n">
        <v>56.85</v>
      </c>
      <c r="O44" s="120" t="n">
        <v>-0.6271</v>
      </c>
    </row>
    <row r="45" customFormat="false" ht="15.75" hidden="false" customHeight="true" outlineLevel="0" collapsed="false">
      <c r="N45" s="119" t="n">
        <v>57.05</v>
      </c>
      <c r="O45" s="120" t="n">
        <v>-0.6266</v>
      </c>
    </row>
    <row r="46" customFormat="false" ht="15.75" hidden="false" customHeight="true" outlineLevel="0" collapsed="false">
      <c r="N46" s="119" t="n">
        <v>57.41</v>
      </c>
      <c r="O46" s="120" t="n">
        <v>-0.6257</v>
      </c>
    </row>
    <row r="47" customFormat="false" ht="15.75" hidden="false" customHeight="true" outlineLevel="0" collapsed="false">
      <c r="N47" s="119" t="n">
        <v>57.56</v>
      </c>
      <c r="O47" s="120" t="n">
        <v>-0.6253</v>
      </c>
    </row>
    <row r="48" customFormat="false" ht="15.75" hidden="false" customHeight="true" outlineLevel="0" collapsed="false">
      <c r="N48" s="119" t="n">
        <v>57.58</v>
      </c>
      <c r="O48" s="120" t="n">
        <v>-0.6253</v>
      </c>
    </row>
    <row r="49" customFormat="false" ht="15.75" hidden="false" customHeight="true" outlineLevel="0" collapsed="false">
      <c r="N49" s="119" t="n">
        <v>58.15</v>
      </c>
      <c r="O49" s="120" t="n">
        <v>-0.6239</v>
      </c>
    </row>
    <row r="50" customFormat="false" ht="15.75" hidden="false" customHeight="true" outlineLevel="0" collapsed="false">
      <c r="N50" s="119" t="n">
        <v>58.61</v>
      </c>
      <c r="O50" s="120" t="n">
        <v>-0.6228</v>
      </c>
    </row>
    <row r="51" customFormat="false" ht="15.75" hidden="false" customHeight="true" outlineLevel="0" collapsed="false">
      <c r="N51" s="119" t="n">
        <v>59.01</v>
      </c>
      <c r="O51" s="120" t="n">
        <v>-0.6218</v>
      </c>
    </row>
    <row r="52" customFormat="false" ht="15.75" hidden="false" customHeight="true" outlineLevel="0" collapsed="false">
      <c r="N52" s="119" t="n">
        <v>59.3</v>
      </c>
      <c r="O52" s="120" t="n">
        <v>-0.6211</v>
      </c>
    </row>
    <row r="53" customFormat="false" ht="15.75" hidden="false" customHeight="true" outlineLevel="0" collapsed="false">
      <c r="N53" s="119" t="n">
        <v>60.45</v>
      </c>
      <c r="O53" s="120" t="n">
        <v>-0.6183</v>
      </c>
    </row>
    <row r="54" customFormat="false" ht="15.75" hidden="false" customHeight="true" outlineLevel="0" collapsed="false">
      <c r="N54" s="119" t="n">
        <v>60.51</v>
      </c>
      <c r="O54" s="120" t="n">
        <v>-0.6181</v>
      </c>
    </row>
    <row r="55" customFormat="false" ht="15.75" hidden="false" customHeight="true" outlineLevel="0" collapsed="false">
      <c r="N55" s="119" t="n">
        <v>61.03</v>
      </c>
      <c r="O55" s="120" t="n">
        <v>-0.6168</v>
      </c>
    </row>
    <row r="56" customFormat="false" ht="15.75" hidden="false" customHeight="true" outlineLevel="0" collapsed="false">
      <c r="N56" s="119" t="n">
        <v>61.17</v>
      </c>
      <c r="O56" s="120" t="n">
        <v>-0.6165</v>
      </c>
    </row>
    <row r="57" customFormat="false" ht="15.75" hidden="false" customHeight="true" outlineLevel="0" collapsed="false">
      <c r="N57" s="119" t="n">
        <v>61.28</v>
      </c>
      <c r="O57" s="120" t="n">
        <v>-0.6162</v>
      </c>
    </row>
    <row r="58" customFormat="false" ht="15.75" hidden="false" customHeight="true" outlineLevel="0" collapsed="false">
      <c r="N58" s="119" t="n">
        <v>62.14</v>
      </c>
      <c r="O58" s="120" t="n">
        <v>-0.6141</v>
      </c>
    </row>
    <row r="59" customFormat="false" ht="15.75" hidden="false" customHeight="true" outlineLevel="0" collapsed="false">
      <c r="N59" s="119" t="n">
        <v>63.77</v>
      </c>
      <c r="O59" s="120" t="n">
        <v>-0.6101</v>
      </c>
    </row>
    <row r="60" customFormat="false" ht="15.75" hidden="false" customHeight="true" outlineLevel="0" collapsed="false">
      <c r="N60" s="119" t="n">
        <v>64.09</v>
      </c>
      <c r="O60" s="120" t="n">
        <v>-0.6093</v>
      </c>
    </row>
    <row r="61" customFormat="false" ht="15.75" hidden="false" customHeight="true" outlineLevel="0" collapsed="false">
      <c r="N61" s="119" t="n">
        <v>64.62</v>
      </c>
      <c r="O61" s="120" t="n">
        <v>-0.608</v>
      </c>
    </row>
    <row r="62" customFormat="false" ht="15.75" hidden="false" customHeight="true" outlineLevel="0" collapsed="false">
      <c r="N62" s="119" t="n">
        <v>64.75</v>
      </c>
      <c r="O62" s="120" t="n">
        <v>-0.6077</v>
      </c>
    </row>
    <row r="63" customFormat="false" ht="15.75" hidden="false" customHeight="true" outlineLevel="0" collapsed="false">
      <c r="N63" s="119" t="n">
        <v>65.52</v>
      </c>
      <c r="O63" s="120" t="n">
        <v>-0.6058</v>
      </c>
    </row>
    <row r="64" customFormat="false" ht="15.75" hidden="false" customHeight="true" outlineLevel="0" collapsed="false">
      <c r="N64" s="119" t="n">
        <v>65.74</v>
      </c>
      <c r="O64" s="120" t="n">
        <v>-0.6053</v>
      </c>
    </row>
    <row r="65" customFormat="false" ht="15.75" hidden="false" customHeight="true" outlineLevel="0" collapsed="false">
      <c r="N65" s="119" t="n">
        <v>66.4</v>
      </c>
      <c r="O65" s="120" t="n">
        <v>-0.6037</v>
      </c>
    </row>
    <row r="66" customFormat="false" ht="15.75" hidden="false" customHeight="true" outlineLevel="0" collapsed="false">
      <c r="N66" s="119" t="n">
        <v>66.91</v>
      </c>
      <c r="O66" s="120" t="n">
        <v>-0.6024</v>
      </c>
    </row>
    <row r="67" customFormat="false" ht="15.75" hidden="false" customHeight="true" outlineLevel="0" collapsed="false">
      <c r="N67" s="119" t="n">
        <v>67.05</v>
      </c>
      <c r="O67" s="120" t="n">
        <v>-0.6021</v>
      </c>
    </row>
    <row r="68" customFormat="false" ht="15.75" hidden="false" customHeight="true" outlineLevel="0" collapsed="false">
      <c r="N68" s="119" t="n">
        <v>68.52</v>
      </c>
      <c r="O68" s="120" t="n">
        <v>-0.5985</v>
      </c>
    </row>
    <row r="69" customFormat="false" ht="15.75" hidden="false" customHeight="true" outlineLevel="0" collapsed="false">
      <c r="N69" s="119" t="n">
        <v>70.03</v>
      </c>
      <c r="O69" s="120" t="n">
        <v>-0.5948</v>
      </c>
    </row>
    <row r="70" customFormat="false" ht="15.75" hidden="false" customHeight="true" outlineLevel="0" collapsed="false">
      <c r="N70" s="119" t="n">
        <v>72.07</v>
      </c>
      <c r="O70" s="120" t="n">
        <v>-0.5898</v>
      </c>
    </row>
    <row r="71" customFormat="false" ht="15.75" hidden="false" customHeight="true" outlineLevel="0" collapsed="false">
      <c r="N71" s="119" t="n">
        <v>72.08</v>
      </c>
      <c r="O71" s="120" t="n">
        <v>-0.5898</v>
      </c>
    </row>
    <row r="72" customFormat="false" ht="15.75" hidden="false" customHeight="true" outlineLevel="0" collapsed="false">
      <c r="N72" s="119" t="n">
        <v>72.48</v>
      </c>
      <c r="O72" s="120" t="n">
        <v>-0.5888</v>
      </c>
    </row>
    <row r="73" customFormat="false" ht="15.75" hidden="false" customHeight="true" outlineLevel="0" collapsed="false">
      <c r="N73" s="119" t="n">
        <v>73.63</v>
      </c>
      <c r="O73" s="120" t="n">
        <v>-0.586</v>
      </c>
    </row>
    <row r="74" customFormat="false" ht="15.75" hidden="false" customHeight="true" outlineLevel="0" collapsed="false">
      <c r="N74" s="119" t="n">
        <v>74.96</v>
      </c>
      <c r="O74" s="120" t="n">
        <v>-0.5827</v>
      </c>
    </row>
    <row r="75" customFormat="false" ht="15.75" hidden="false" customHeight="true" outlineLevel="0" collapsed="false">
      <c r="N75" s="119" t="n">
        <v>75.15</v>
      </c>
      <c r="O75" s="120" t="n">
        <v>-0.5823</v>
      </c>
    </row>
    <row r="76" customFormat="false" ht="15.75" hidden="false" customHeight="true" outlineLevel="0" collapsed="false">
      <c r="N76" s="119" t="n">
        <v>76.94</v>
      </c>
      <c r="O76" s="120" t="n">
        <v>-0.5779</v>
      </c>
    </row>
    <row r="77" customFormat="false" ht="15.75" hidden="false" customHeight="true" outlineLevel="0" collapsed="false">
      <c r="N77" s="119" t="n">
        <v>78.15</v>
      </c>
      <c r="O77" s="120" t="n">
        <v>-0.5749</v>
      </c>
    </row>
    <row r="78" customFormat="false" ht="15.75" hidden="false" customHeight="true" outlineLevel="0" collapsed="false">
      <c r="N78" s="119" t="n">
        <v>78.53</v>
      </c>
      <c r="O78" s="120" t="n">
        <v>-0.574</v>
      </c>
    </row>
    <row r="79" customFormat="false" ht="15.75" hidden="false" customHeight="true" outlineLevel="0" collapsed="false">
      <c r="N79" s="119" t="n">
        <v>78.57</v>
      </c>
      <c r="O79" s="120" t="n">
        <v>-0.5739</v>
      </c>
    </row>
    <row r="80" customFormat="false" ht="15.75" hidden="false" customHeight="true" outlineLevel="0" collapsed="false">
      <c r="N80" s="119" t="n">
        <v>82.39</v>
      </c>
      <c r="O80" s="120" t="n">
        <v>-0.5645</v>
      </c>
    </row>
    <row r="81" customFormat="false" ht="15.75" hidden="false" customHeight="true" outlineLevel="0" collapsed="false">
      <c r="N81" s="119" t="n">
        <v>82.61</v>
      </c>
      <c r="O81" s="120" t="n">
        <v>-0.564</v>
      </c>
    </row>
    <row r="82" customFormat="false" ht="15.75" hidden="false" customHeight="true" outlineLevel="0" collapsed="false">
      <c r="N82" s="119" t="n">
        <v>83.24</v>
      </c>
      <c r="O82" s="120" t="n">
        <v>-0.5625</v>
      </c>
    </row>
    <row r="83" customFormat="false" ht="15.75" hidden="false" customHeight="true" outlineLevel="0" collapsed="false">
      <c r="N83" s="119" t="n">
        <v>83.43</v>
      </c>
      <c r="O83" s="120" t="n">
        <v>-0.562</v>
      </c>
    </row>
    <row r="84" customFormat="false" ht="15.75" hidden="false" customHeight="true" outlineLevel="0" collapsed="false">
      <c r="N84" s="119" t="n">
        <v>84.21</v>
      </c>
      <c r="O84" s="120" t="n">
        <v>-0.5601</v>
      </c>
    </row>
    <row r="85" customFormat="false" ht="15.75" hidden="false" customHeight="true" outlineLevel="0" collapsed="false">
      <c r="N85" s="119" t="n">
        <v>84.57</v>
      </c>
      <c r="O85" s="120" t="n">
        <v>-0.5592</v>
      </c>
    </row>
    <row r="86" customFormat="false" ht="15.75" hidden="false" customHeight="true" outlineLevel="0" collapsed="false">
      <c r="N86" s="119" t="n">
        <v>85.04</v>
      </c>
      <c r="O86" s="120" t="n">
        <v>-0.5581</v>
      </c>
    </row>
    <row r="87" customFormat="false" ht="15.75" hidden="false" customHeight="true" outlineLevel="0" collapsed="false">
      <c r="N87" s="119" t="n">
        <v>85.23</v>
      </c>
      <c r="O87" s="120" t="n">
        <v>-0.5576</v>
      </c>
    </row>
    <row r="88" customFormat="false" ht="15.75" hidden="false" customHeight="true" outlineLevel="0" collapsed="false">
      <c r="N88" s="119" t="n">
        <v>86.31</v>
      </c>
      <c r="O88" s="120" t="n">
        <v>-0.5549</v>
      </c>
    </row>
    <row r="89" customFormat="false" ht="15.75" hidden="false" customHeight="true" outlineLevel="0" collapsed="false">
      <c r="N89" s="119" t="n">
        <v>86.69</v>
      </c>
      <c r="O89" s="120" t="n">
        <v>-0.554</v>
      </c>
    </row>
    <row r="90" customFormat="false" ht="15.75" hidden="false" customHeight="true" outlineLevel="0" collapsed="false">
      <c r="N90" s="119" t="n">
        <v>87.01</v>
      </c>
      <c r="O90" s="120" t="n">
        <v>-0.5532</v>
      </c>
    </row>
    <row r="91" customFormat="false" ht="15.75" hidden="false" customHeight="true" outlineLevel="0" collapsed="false">
      <c r="N91" s="119" t="n">
        <v>87.14</v>
      </c>
      <c r="O91" s="120" t="n">
        <v>-0.5529</v>
      </c>
    </row>
    <row r="92" customFormat="false" ht="15.75" hidden="false" customHeight="true" outlineLevel="0" collapsed="false">
      <c r="N92" s="119" t="n">
        <v>87.46</v>
      </c>
      <c r="O92" s="120" t="n">
        <v>-0.5521</v>
      </c>
    </row>
    <row r="93" customFormat="false" ht="15.75" hidden="false" customHeight="true" outlineLevel="0" collapsed="false">
      <c r="N93" s="119" t="n">
        <v>88.27</v>
      </c>
      <c r="O93" s="120" t="n">
        <v>-0.5501</v>
      </c>
    </row>
    <row r="94" customFormat="false" ht="15.75" hidden="false" customHeight="true" outlineLevel="0" collapsed="false">
      <c r="N94" s="119" t="n">
        <v>88.34</v>
      </c>
      <c r="O94" s="120" t="n">
        <v>-0.55</v>
      </c>
    </row>
    <row r="95" customFormat="false" ht="15.75" hidden="false" customHeight="true" outlineLevel="0" collapsed="false">
      <c r="N95" s="119" t="n">
        <v>88.5</v>
      </c>
      <c r="O95" s="120" t="n">
        <v>-0.5496</v>
      </c>
    </row>
    <row r="96" customFormat="false" ht="15.75" hidden="false" customHeight="true" outlineLevel="0" collapsed="false">
      <c r="N96" s="119" t="n">
        <v>89.8</v>
      </c>
      <c r="O96" s="120" t="n">
        <v>-0.5464</v>
      </c>
    </row>
    <row r="97" customFormat="false" ht="15.75" hidden="false" customHeight="true" outlineLevel="0" collapsed="false">
      <c r="N97" s="119" t="n">
        <v>90.62</v>
      </c>
      <c r="O97" s="120" t="n">
        <v>-0.5444</v>
      </c>
    </row>
    <row r="98" customFormat="false" ht="15.75" hidden="false" customHeight="true" outlineLevel="0" collapsed="false">
      <c r="N98" s="119" t="n">
        <v>91.37</v>
      </c>
      <c r="O98" s="120" t="n">
        <v>-0.5426</v>
      </c>
    </row>
    <row r="99" customFormat="false" ht="15.75" hidden="false" customHeight="true" outlineLevel="0" collapsed="false">
      <c r="N99" s="119" t="n">
        <v>92.87</v>
      </c>
      <c r="O99" s="120" t="n">
        <v>-0.5389</v>
      </c>
    </row>
    <row r="100" customFormat="false" ht="15.75" hidden="false" customHeight="true" outlineLevel="0" collapsed="false">
      <c r="N100" s="119" t="n">
        <v>93.07</v>
      </c>
      <c r="O100" s="120" t="n">
        <v>-0.5384</v>
      </c>
    </row>
    <row r="101" customFormat="false" ht="15.75" hidden="false" customHeight="true" outlineLevel="0" collapsed="false">
      <c r="N101" s="119" t="n">
        <v>94.18</v>
      </c>
      <c r="O101" s="120" t="n">
        <v>-0.5357</v>
      </c>
    </row>
    <row r="102" customFormat="false" ht="15.75" hidden="false" customHeight="true" outlineLevel="0" collapsed="false">
      <c r="N102" s="119" t="n">
        <v>95.02</v>
      </c>
      <c r="O102" s="120" t="n">
        <v>-0.5336</v>
      </c>
    </row>
    <row r="103" customFormat="false" ht="15.75" hidden="false" customHeight="true" outlineLevel="0" collapsed="false">
      <c r="N103" s="119" t="n">
        <v>95.23</v>
      </c>
      <c r="O103" s="120" t="n">
        <v>-0.5331</v>
      </c>
    </row>
    <row r="104" customFormat="false" ht="15.75" hidden="false" customHeight="true" outlineLevel="0" collapsed="false">
      <c r="N104" s="119" t="n">
        <v>96.26</v>
      </c>
      <c r="O104" s="120" t="n">
        <v>-0.5306</v>
      </c>
    </row>
    <row r="105" customFormat="false" ht="15.75" hidden="false" customHeight="true" outlineLevel="0" collapsed="false">
      <c r="N105" s="119" t="n">
        <v>97.01</v>
      </c>
      <c r="O105" s="120" t="n">
        <v>-0.5287</v>
      </c>
    </row>
    <row r="106" customFormat="false" ht="15.75" hidden="false" customHeight="true" outlineLevel="0" collapsed="false">
      <c r="N106" s="119" t="n">
        <v>97.22</v>
      </c>
      <c r="O106" s="120" t="n">
        <v>-0.5282</v>
      </c>
    </row>
    <row r="107" customFormat="false" ht="15.75" hidden="false" customHeight="true" outlineLevel="0" collapsed="false">
      <c r="N107" s="119" t="n">
        <v>99.45</v>
      </c>
      <c r="O107" s="120" t="n">
        <v>-0.5228</v>
      </c>
    </row>
    <row r="108" customFormat="false" ht="15.75" hidden="false" customHeight="true" outlineLevel="0" collapsed="false">
      <c r="N108" s="119" t="n">
        <v>100.3</v>
      </c>
      <c r="O108" s="120" t="n">
        <v>-0.5207</v>
      </c>
    </row>
    <row r="109" customFormat="false" ht="15.75" hidden="false" customHeight="true" outlineLevel="0" collapsed="false">
      <c r="N109" s="119" t="n">
        <v>100.8</v>
      </c>
      <c r="O109" s="120" t="n">
        <v>-0.5195</v>
      </c>
    </row>
    <row r="110" customFormat="false" ht="15.75" hidden="false" customHeight="true" outlineLevel="0" collapsed="false">
      <c r="N110" s="119" t="n">
        <v>102.12</v>
      </c>
      <c r="O110" s="120" t="n">
        <v>-0.5162</v>
      </c>
    </row>
    <row r="111" customFormat="false" ht="15.75" hidden="false" customHeight="true" outlineLevel="0" collapsed="false">
      <c r="N111" s="119" t="n">
        <v>102.96</v>
      </c>
      <c r="O111" s="120" t="n">
        <v>-0.5142</v>
      </c>
    </row>
    <row r="112" customFormat="false" ht="15.75" hidden="false" customHeight="true" outlineLevel="0" collapsed="false">
      <c r="N112" s="119" t="n">
        <v>104.91</v>
      </c>
      <c r="O112" s="120" t="n">
        <v>-0.5094</v>
      </c>
    </row>
    <row r="113" customFormat="false" ht="15.75" hidden="false" customHeight="true" outlineLevel="0" collapsed="false">
      <c r="N113" s="119" t="n">
        <v>107.51</v>
      </c>
      <c r="O113" s="120" t="n">
        <v>-0.503</v>
      </c>
    </row>
    <row r="114" customFormat="false" ht="15.75" hidden="false" customHeight="true" outlineLevel="0" collapsed="false">
      <c r="N114" s="119" t="n">
        <v>107.69</v>
      </c>
      <c r="O114" s="120" t="n">
        <v>-0.5026</v>
      </c>
    </row>
    <row r="115" customFormat="false" ht="15.75" hidden="false" customHeight="true" outlineLevel="0" collapsed="false">
      <c r="N115" s="119" t="n">
        <v>109.01</v>
      </c>
      <c r="O115" s="120" t="n">
        <v>-0.4994</v>
      </c>
    </row>
    <row r="116" customFormat="false" ht="15.75" hidden="false" customHeight="true" outlineLevel="0" collapsed="false">
      <c r="N116" s="119" t="n">
        <v>109.1</v>
      </c>
      <c r="O116" s="120" t="n">
        <v>-0.4991</v>
      </c>
    </row>
    <row r="117" customFormat="false" ht="15.75" hidden="false" customHeight="true" outlineLevel="0" collapsed="false">
      <c r="N117" s="119" t="n">
        <v>109.18</v>
      </c>
      <c r="O117" s="120" t="n">
        <v>-0.499</v>
      </c>
    </row>
    <row r="118" customFormat="false" ht="15.75" hidden="false" customHeight="true" outlineLevel="0" collapsed="false">
      <c r="N118" s="119" t="n">
        <v>109.81</v>
      </c>
      <c r="O118" s="120" t="n">
        <v>-0.4974</v>
      </c>
    </row>
    <row r="119" customFormat="false" ht="15.75" hidden="false" customHeight="true" outlineLevel="0" collapsed="false">
      <c r="N119" s="119" t="n">
        <v>111.33</v>
      </c>
      <c r="O119" s="120" t="n">
        <v>-0.4937</v>
      </c>
    </row>
    <row r="120" customFormat="false" ht="15.75" hidden="false" customHeight="true" outlineLevel="0" collapsed="false">
      <c r="N120" s="119" t="n">
        <v>111.92</v>
      </c>
      <c r="O120" s="120" t="n">
        <v>-0.4922</v>
      </c>
    </row>
    <row r="121" customFormat="false" ht="15.75" hidden="false" customHeight="true" outlineLevel="0" collapsed="false">
      <c r="N121" s="119" t="n">
        <v>112.95</v>
      </c>
      <c r="O121" s="120" t="n">
        <v>-0.4897</v>
      </c>
    </row>
    <row r="122" customFormat="false" ht="15.75" hidden="false" customHeight="true" outlineLevel="0" collapsed="false">
      <c r="N122" s="119" t="n">
        <v>115.23</v>
      </c>
      <c r="O122" s="120" t="n">
        <v>-0.4841</v>
      </c>
    </row>
    <row r="123" customFormat="false" ht="15.75" hidden="false" customHeight="true" outlineLevel="0" collapsed="false">
      <c r="N123" s="119" t="n">
        <v>115.56</v>
      </c>
      <c r="O123" s="120" t="n">
        <v>-0.4833</v>
      </c>
    </row>
    <row r="124" customFormat="false" ht="15.75" hidden="false" customHeight="true" outlineLevel="0" collapsed="false">
      <c r="N124" s="119" t="n">
        <v>115.81</v>
      </c>
      <c r="O124" s="120" t="n">
        <v>-0.4827</v>
      </c>
    </row>
    <row r="125" customFormat="false" ht="15.75" hidden="false" customHeight="true" outlineLevel="0" collapsed="false">
      <c r="N125" s="119" t="n">
        <v>117.74</v>
      </c>
      <c r="O125" s="120" t="n">
        <v>-0.478</v>
      </c>
    </row>
    <row r="126" customFormat="false" ht="15.75" hidden="false" customHeight="true" outlineLevel="0" collapsed="false">
      <c r="N126" s="119" t="n">
        <v>120.09</v>
      </c>
      <c r="O126" s="120" t="n">
        <v>-0.4722</v>
      </c>
    </row>
    <row r="127" customFormat="false" ht="15.75" hidden="false" customHeight="true" outlineLevel="0" collapsed="false">
      <c r="N127" s="119" t="n">
        <v>125.74</v>
      </c>
      <c r="O127" s="120" t="n">
        <v>-0.4584</v>
      </c>
    </row>
    <row r="128" customFormat="false" ht="15.75" hidden="false" customHeight="true" outlineLevel="0" collapsed="false">
      <c r="N128" s="119" t="n">
        <v>126.44</v>
      </c>
      <c r="O128" s="120" t="n">
        <v>-0.4567</v>
      </c>
    </row>
    <row r="129" customFormat="false" ht="15.75" hidden="false" customHeight="true" outlineLevel="0" collapsed="false">
      <c r="N129" s="119" t="n">
        <v>129.11</v>
      </c>
      <c r="O129" s="120" t="n">
        <v>-0.4502</v>
      </c>
    </row>
    <row r="130" customFormat="false" ht="15.75" hidden="false" customHeight="true" outlineLevel="0" collapsed="false">
      <c r="N130" s="119" t="n">
        <v>131.14</v>
      </c>
      <c r="O130" s="120" t="n">
        <v>-0.4452</v>
      </c>
    </row>
    <row r="131" customFormat="false" ht="15.75" hidden="false" customHeight="true" outlineLevel="0" collapsed="false">
      <c r="N131" s="119" t="n">
        <v>133.88</v>
      </c>
      <c r="O131" s="120" t="n">
        <v>-0.4385</v>
      </c>
    </row>
    <row r="132" customFormat="false" ht="15.75" hidden="false" customHeight="true" outlineLevel="0" collapsed="false">
      <c r="N132" s="119" t="n">
        <v>139.58</v>
      </c>
      <c r="O132" s="120" t="n">
        <v>-0.4245</v>
      </c>
    </row>
    <row r="133" customFormat="false" ht="15.75" hidden="false" customHeight="true" outlineLevel="0" collapsed="false">
      <c r="N133" s="119" t="n">
        <v>140.03</v>
      </c>
      <c r="O133" s="120" t="n">
        <v>-0.4234</v>
      </c>
    </row>
    <row r="134" customFormat="false" ht="15.75" hidden="false" customHeight="true" outlineLevel="0" collapsed="false">
      <c r="N134" s="119" t="n">
        <v>140.09</v>
      </c>
      <c r="O134" s="120" t="n">
        <v>-0.4233</v>
      </c>
    </row>
    <row r="135" customFormat="false" ht="15.75" hidden="false" customHeight="true" outlineLevel="0" collapsed="false">
      <c r="N135" s="119" t="n">
        <v>142.42</v>
      </c>
      <c r="O135" s="120" t="n">
        <v>-0.4176</v>
      </c>
    </row>
    <row r="136" customFormat="false" ht="15.75" hidden="false" customHeight="true" outlineLevel="0" collapsed="false">
      <c r="N136" s="119" t="n">
        <v>142.68</v>
      </c>
      <c r="O136" s="120" t="n">
        <v>-0.4169</v>
      </c>
    </row>
    <row r="137" customFormat="false" ht="15.75" hidden="false" customHeight="true" outlineLevel="0" collapsed="false">
      <c r="N137" s="119" t="n">
        <v>143.42</v>
      </c>
      <c r="O137" s="120" t="n">
        <v>-0.4151</v>
      </c>
    </row>
    <row r="138" customFormat="false" ht="15.75" hidden="false" customHeight="true" outlineLevel="0" collapsed="false">
      <c r="N138" s="119" t="n">
        <v>143.47</v>
      </c>
      <c r="O138" s="120" t="n">
        <v>-0.415</v>
      </c>
    </row>
    <row r="139" customFormat="false" ht="15.75" hidden="false" customHeight="true" outlineLevel="0" collapsed="false">
      <c r="N139" s="119" t="n">
        <v>143.9</v>
      </c>
      <c r="O139" s="120" t="n">
        <v>-0.4139</v>
      </c>
    </row>
    <row r="140" customFormat="false" ht="15.75" hidden="false" customHeight="true" outlineLevel="0" collapsed="false">
      <c r="N140" s="119" t="n">
        <v>145.88</v>
      </c>
      <c r="O140" s="120" t="n">
        <v>-0.4091</v>
      </c>
    </row>
    <row r="141" customFormat="false" ht="15.75" hidden="false" customHeight="true" outlineLevel="0" collapsed="false">
      <c r="N141" s="119" t="n">
        <v>146.92</v>
      </c>
      <c r="O141" s="120" t="n">
        <v>-0.4066</v>
      </c>
    </row>
    <row r="142" customFormat="false" ht="15.75" hidden="false" customHeight="true" outlineLevel="0" collapsed="false">
      <c r="N142" s="119" t="n">
        <v>147.3</v>
      </c>
      <c r="O142" s="120" t="n">
        <v>-0.4056</v>
      </c>
    </row>
    <row r="143" customFormat="false" ht="15.75" hidden="false" customHeight="true" outlineLevel="0" collapsed="false">
      <c r="N143" s="119" t="n">
        <v>148.11</v>
      </c>
      <c r="O143" s="120" t="n">
        <v>-0.4036</v>
      </c>
    </row>
    <row r="144" customFormat="false" ht="15.75" hidden="false" customHeight="true" outlineLevel="0" collapsed="false">
      <c r="N144" s="119" t="n">
        <v>148.92</v>
      </c>
      <c r="O144" s="120" t="n">
        <v>-0.4017</v>
      </c>
    </row>
    <row r="145" customFormat="false" ht="15.75" hidden="false" customHeight="true" outlineLevel="0" collapsed="false">
      <c r="N145" s="119" t="n">
        <v>152.74</v>
      </c>
      <c r="O145" s="120" t="n">
        <v>-0.3923</v>
      </c>
    </row>
    <row r="146" customFormat="false" ht="15.75" hidden="false" customHeight="true" outlineLevel="0" collapsed="false">
      <c r="N146" s="119" t="n">
        <v>152.81</v>
      </c>
      <c r="O146" s="120" t="n">
        <v>-0.3921</v>
      </c>
    </row>
    <row r="147" customFormat="false" ht="15.75" hidden="false" customHeight="true" outlineLevel="0" collapsed="false">
      <c r="N147" s="119" t="n">
        <v>153.09</v>
      </c>
      <c r="O147" s="120" t="n">
        <v>-0.3914</v>
      </c>
    </row>
    <row r="148" customFormat="false" ht="15.75" hidden="false" customHeight="true" outlineLevel="0" collapsed="false">
      <c r="N148" s="119" t="n">
        <v>155.38</v>
      </c>
      <c r="O148" s="120" t="n">
        <v>-0.3858</v>
      </c>
    </row>
    <row r="149" customFormat="false" ht="15.75" hidden="false" customHeight="true" outlineLevel="0" collapsed="false">
      <c r="N149" s="119" t="n">
        <v>156.22</v>
      </c>
      <c r="O149" s="120" t="n">
        <v>-0.3838</v>
      </c>
    </row>
    <row r="150" customFormat="false" ht="15.75" hidden="false" customHeight="true" outlineLevel="0" collapsed="false">
      <c r="N150" s="119" t="n">
        <v>157.79</v>
      </c>
      <c r="O150" s="120" t="n">
        <v>-0.3799</v>
      </c>
    </row>
    <row r="151" customFormat="false" ht="15.75" hidden="false" customHeight="true" outlineLevel="0" collapsed="false">
      <c r="N151" s="119" t="n">
        <v>163.26</v>
      </c>
      <c r="O151" s="120" t="n">
        <v>-0.3666</v>
      </c>
    </row>
    <row r="152" customFormat="false" ht="15.75" hidden="false" customHeight="true" outlineLevel="0" collapsed="false">
      <c r="N152" s="119" t="n">
        <v>164.62</v>
      </c>
      <c r="O152" s="120" t="n">
        <v>-0.3632</v>
      </c>
    </row>
    <row r="153" customFormat="false" ht="15.75" hidden="false" customHeight="true" outlineLevel="0" collapsed="false">
      <c r="N153" s="119" t="n">
        <v>165.8</v>
      </c>
      <c r="O153" s="120" t="n">
        <v>-0.3603</v>
      </c>
    </row>
    <row r="154" customFormat="false" ht="15.75" hidden="false" customHeight="true" outlineLevel="0" collapsed="false">
      <c r="N154" s="119" t="n">
        <v>169.42</v>
      </c>
      <c r="O154" s="120" t="n">
        <v>-0.3515</v>
      </c>
    </row>
    <row r="155" customFormat="false" ht="15.75" hidden="false" customHeight="true" outlineLevel="0" collapsed="false">
      <c r="N155" s="119" t="n">
        <v>172.92</v>
      </c>
      <c r="O155" s="120" t="n">
        <v>-0.3429</v>
      </c>
    </row>
    <row r="156" customFormat="false" ht="15.75" hidden="false" customHeight="true" outlineLevel="0" collapsed="false">
      <c r="N156" s="119" t="n">
        <v>174.3</v>
      </c>
      <c r="O156" s="120" t="n">
        <v>-0.3395</v>
      </c>
    </row>
    <row r="157" customFormat="false" ht="15.75" hidden="false" customHeight="true" outlineLevel="0" collapsed="false">
      <c r="N157" s="119" t="n">
        <v>175.01</v>
      </c>
      <c r="O157" s="120" t="n">
        <v>-0.3378</v>
      </c>
    </row>
    <row r="158" customFormat="false" ht="15.75" hidden="false" customHeight="true" outlineLevel="0" collapsed="false">
      <c r="N158" s="119" t="n">
        <v>177.46</v>
      </c>
      <c r="O158" s="120" t="n">
        <v>-0.3318</v>
      </c>
    </row>
    <row r="159" customFormat="false" ht="15.75" hidden="false" customHeight="true" outlineLevel="0" collapsed="false">
      <c r="N159" s="119" t="n">
        <v>178.73</v>
      </c>
      <c r="O159" s="120" t="n">
        <v>-0.3287</v>
      </c>
    </row>
    <row r="160" customFormat="false" ht="15.75" hidden="false" customHeight="true" outlineLevel="0" collapsed="false">
      <c r="N160" s="119" t="n">
        <v>185.31</v>
      </c>
      <c r="O160" s="120" t="n">
        <v>-0.3126</v>
      </c>
    </row>
    <row r="161" customFormat="false" ht="15.75" hidden="false" customHeight="true" outlineLevel="0" collapsed="false">
      <c r="N161" s="119" t="n">
        <v>185.58</v>
      </c>
      <c r="O161" s="120" t="n">
        <v>-0.3119</v>
      </c>
    </row>
    <row r="162" customFormat="false" ht="15.75" hidden="false" customHeight="true" outlineLevel="0" collapsed="false">
      <c r="N162" s="119" t="n">
        <v>185.92</v>
      </c>
      <c r="O162" s="120" t="n">
        <v>-0.3111</v>
      </c>
    </row>
    <row r="163" customFormat="false" ht="15.75" hidden="false" customHeight="true" outlineLevel="0" collapsed="false">
      <c r="N163" s="119" t="n">
        <v>185.99</v>
      </c>
      <c r="O163" s="120" t="n">
        <v>-0.3109</v>
      </c>
    </row>
    <row r="164" customFormat="false" ht="15.75" hidden="false" customHeight="true" outlineLevel="0" collapsed="false">
      <c r="N164" s="119" t="n">
        <v>190.1</v>
      </c>
      <c r="O164" s="120" t="n">
        <v>-0.3008</v>
      </c>
    </row>
    <row r="165" customFormat="false" ht="15.75" hidden="false" customHeight="true" outlineLevel="0" collapsed="false">
      <c r="N165" s="119" t="n">
        <v>191.1</v>
      </c>
      <c r="O165" s="120" t="n">
        <v>-0.2984</v>
      </c>
    </row>
    <row r="166" customFormat="false" ht="15.75" hidden="false" customHeight="true" outlineLevel="0" collapsed="false">
      <c r="N166" s="119" t="n">
        <v>191.83</v>
      </c>
      <c r="O166" s="120" t="n">
        <v>-0.2966</v>
      </c>
    </row>
    <row r="167" customFormat="false" ht="15.75" hidden="false" customHeight="true" outlineLevel="0" collapsed="false">
      <c r="N167" s="119" t="n">
        <v>199.32</v>
      </c>
      <c r="O167" s="120" t="n">
        <v>-0.2783</v>
      </c>
    </row>
    <row r="168" customFormat="false" ht="15.75" hidden="false" customHeight="true" outlineLevel="0" collapsed="false">
      <c r="N168" s="119" t="n">
        <v>199.58</v>
      </c>
      <c r="O168" s="120" t="n">
        <v>-0.2776</v>
      </c>
    </row>
    <row r="169" customFormat="false" ht="15.75" hidden="false" customHeight="true" outlineLevel="0" collapsed="false">
      <c r="N169" s="119" t="n">
        <v>202.26</v>
      </c>
      <c r="O169" s="120" t="n">
        <v>-0.2711</v>
      </c>
    </row>
    <row r="170" customFormat="false" ht="15.75" hidden="false" customHeight="true" outlineLevel="0" collapsed="false">
      <c r="N170" s="119" t="n">
        <v>203.16</v>
      </c>
      <c r="O170" s="120" t="n">
        <v>-0.2689</v>
      </c>
    </row>
    <row r="171" customFormat="false" ht="15.75" hidden="false" customHeight="true" outlineLevel="0" collapsed="false">
      <c r="N171" s="119" t="n">
        <v>205.97</v>
      </c>
      <c r="O171" s="120" t="n">
        <v>-0.262</v>
      </c>
    </row>
    <row r="172" customFormat="false" ht="15.75" hidden="false" customHeight="true" outlineLevel="0" collapsed="false">
      <c r="N172" s="119" t="n">
        <v>208.21</v>
      </c>
      <c r="O172" s="120" t="n">
        <v>-0.2565</v>
      </c>
    </row>
    <row r="173" customFormat="false" ht="15.75" hidden="false" customHeight="true" outlineLevel="0" collapsed="false">
      <c r="N173" s="119" t="n">
        <v>208.89</v>
      </c>
      <c r="O173" s="120" t="n">
        <v>-0.2548</v>
      </c>
    </row>
    <row r="174" customFormat="false" ht="15.75" hidden="false" customHeight="true" outlineLevel="0" collapsed="false">
      <c r="N174" s="119" t="n">
        <v>209.59</v>
      </c>
      <c r="O174" s="120" t="n">
        <v>-0.2531</v>
      </c>
    </row>
    <row r="175" customFormat="false" ht="15.75" hidden="false" customHeight="true" outlineLevel="0" collapsed="false">
      <c r="N175" s="119" t="n">
        <v>214.03</v>
      </c>
      <c r="O175" s="120" t="n">
        <v>-0.2423</v>
      </c>
    </row>
    <row r="176" customFormat="false" ht="15.75" hidden="false" customHeight="true" outlineLevel="0" collapsed="false">
      <c r="N176" s="119" t="n">
        <v>214.88</v>
      </c>
      <c r="O176" s="120" t="n">
        <v>-0.2402</v>
      </c>
    </row>
    <row r="177" customFormat="false" ht="15.75" hidden="false" customHeight="true" outlineLevel="0" collapsed="false">
      <c r="N177" s="119" t="n">
        <v>216.59</v>
      </c>
      <c r="O177" s="120" t="n">
        <v>-0.236</v>
      </c>
    </row>
    <row r="178" customFormat="false" ht="15.75" hidden="false" customHeight="true" outlineLevel="0" collapsed="false">
      <c r="N178" s="119" t="n">
        <v>216.84</v>
      </c>
      <c r="O178" s="120" t="n">
        <v>-0.2354</v>
      </c>
    </row>
    <row r="179" customFormat="false" ht="15.75" hidden="false" customHeight="true" outlineLevel="0" collapsed="false">
      <c r="N179" s="119" t="n">
        <v>217.04</v>
      </c>
      <c r="O179" s="120" t="n">
        <v>-0.2349</v>
      </c>
    </row>
    <row r="180" customFormat="false" ht="15.75" hidden="false" customHeight="true" outlineLevel="0" collapsed="false">
      <c r="N180" s="119" t="n">
        <v>218.23</v>
      </c>
      <c r="O180" s="120" t="n">
        <v>-0.232</v>
      </c>
    </row>
    <row r="181" customFormat="false" ht="15.75" hidden="false" customHeight="true" outlineLevel="0" collapsed="false">
      <c r="N181" s="119" t="n">
        <v>218.49</v>
      </c>
      <c r="O181" s="120" t="n">
        <v>-0.2313</v>
      </c>
    </row>
    <row r="182" customFormat="false" ht="15.75" hidden="false" customHeight="true" outlineLevel="0" collapsed="false">
      <c r="N182" s="119" t="n">
        <v>225.04</v>
      </c>
      <c r="O182" s="120" t="n">
        <v>-0.2153</v>
      </c>
    </row>
    <row r="183" customFormat="false" ht="15.75" hidden="false" customHeight="true" outlineLevel="0" collapsed="false">
      <c r="N183" s="119" t="n">
        <v>228.46</v>
      </c>
      <c r="O183" s="120" t="n">
        <v>-0.2069</v>
      </c>
    </row>
    <row r="184" customFormat="false" ht="15.75" hidden="false" customHeight="true" outlineLevel="0" collapsed="false">
      <c r="N184" s="119" t="n">
        <v>233.16</v>
      </c>
      <c r="O184" s="120" t="n">
        <v>-0.1954</v>
      </c>
    </row>
    <row r="185" customFormat="false" ht="15.75" hidden="false" customHeight="true" outlineLevel="0" collapsed="false">
      <c r="N185" s="119" t="n">
        <v>239.45</v>
      </c>
      <c r="O185" s="120" t="n">
        <v>-0.18</v>
      </c>
    </row>
    <row r="186" customFormat="false" ht="15.75" hidden="false" customHeight="true" outlineLevel="0" collapsed="false">
      <c r="N186" s="119" t="n">
        <v>239.58</v>
      </c>
      <c r="O186" s="120" t="n">
        <v>-0.1797</v>
      </c>
    </row>
    <row r="187" customFormat="false" ht="15.75" hidden="false" customHeight="true" outlineLevel="0" collapsed="false">
      <c r="N187" s="119" t="n">
        <v>256.61</v>
      </c>
      <c r="O187" s="120" t="n">
        <v>-0.138</v>
      </c>
    </row>
    <row r="188" customFormat="false" ht="15.75" hidden="false" customHeight="true" outlineLevel="0" collapsed="false">
      <c r="N188" s="119" t="n">
        <v>257.74</v>
      </c>
      <c r="O188" s="120" t="n">
        <v>-0.1352</v>
      </c>
    </row>
    <row r="189" customFormat="false" ht="15.75" hidden="false" customHeight="true" outlineLevel="0" collapsed="false">
      <c r="N189" s="119" t="n">
        <v>258.73</v>
      </c>
      <c r="O189" s="120" t="n">
        <v>-0.1328</v>
      </c>
    </row>
    <row r="190" customFormat="false" ht="15.75" hidden="false" customHeight="true" outlineLevel="0" collapsed="false">
      <c r="N190" s="119" t="n">
        <v>262.06</v>
      </c>
      <c r="O190" s="120" t="n">
        <v>-0.1247</v>
      </c>
    </row>
    <row r="191" customFormat="false" ht="15.75" hidden="false" customHeight="true" outlineLevel="0" collapsed="false">
      <c r="N191" s="119" t="n">
        <v>263.25</v>
      </c>
      <c r="O191" s="120" t="n">
        <v>-0.1218</v>
      </c>
    </row>
    <row r="192" customFormat="false" ht="15.75" hidden="false" customHeight="true" outlineLevel="0" collapsed="false">
      <c r="N192" s="119" t="n">
        <v>263.42</v>
      </c>
      <c r="O192" s="120" t="n">
        <v>-0.1213</v>
      </c>
    </row>
    <row r="193" customFormat="false" ht="15.75" hidden="false" customHeight="true" outlineLevel="0" collapsed="false">
      <c r="N193" s="119" t="n">
        <v>274.73</v>
      </c>
      <c r="O193" s="120" t="n">
        <v>-0.0936</v>
      </c>
    </row>
    <row r="194" customFormat="false" ht="15.75" hidden="false" customHeight="true" outlineLevel="0" collapsed="false">
      <c r="N194" s="119" t="n">
        <v>275.6</v>
      </c>
      <c r="O194" s="120" t="n">
        <v>-0.0915</v>
      </c>
    </row>
    <row r="195" customFormat="false" ht="15.75" hidden="false" customHeight="true" outlineLevel="0" collapsed="false">
      <c r="N195" s="119" t="n">
        <v>278.22</v>
      </c>
      <c r="O195" s="120" t="n">
        <v>-0.0851</v>
      </c>
    </row>
    <row r="196" customFormat="false" ht="15.75" hidden="false" customHeight="true" outlineLevel="0" collapsed="false">
      <c r="N196" s="119" t="n">
        <v>278.22</v>
      </c>
      <c r="O196" s="120" t="n">
        <v>-0.0851</v>
      </c>
    </row>
    <row r="197" customFormat="false" ht="15.75" hidden="false" customHeight="true" outlineLevel="0" collapsed="false">
      <c r="N197" s="119" t="n">
        <v>282.95</v>
      </c>
      <c r="O197" s="120" t="n">
        <v>-0.0735</v>
      </c>
    </row>
    <row r="198" customFormat="false" ht="15.75" hidden="false" customHeight="true" outlineLevel="0" collapsed="false">
      <c r="N198" s="119" t="n">
        <v>283.48</v>
      </c>
      <c r="O198" s="120" t="n">
        <v>-0.0722</v>
      </c>
    </row>
    <row r="199" customFormat="false" ht="15.75" hidden="false" customHeight="true" outlineLevel="0" collapsed="false">
      <c r="N199" s="119" t="n">
        <v>288.02</v>
      </c>
      <c r="O199" s="120" t="n">
        <v>-0.0611</v>
      </c>
    </row>
    <row r="200" customFormat="false" ht="15.75" hidden="false" customHeight="true" outlineLevel="0" collapsed="false">
      <c r="N200" s="119" t="n">
        <v>288.62</v>
      </c>
      <c r="O200" s="120" t="n">
        <v>-0.0596</v>
      </c>
    </row>
    <row r="201" customFormat="false" ht="15.75" hidden="false" customHeight="true" outlineLevel="0" collapsed="false">
      <c r="N201" s="119" t="n">
        <v>301.49</v>
      </c>
      <c r="O201" s="120" t="n">
        <v>-0.0281</v>
      </c>
    </row>
    <row r="202" customFormat="false" ht="15.75" hidden="false" customHeight="true" outlineLevel="0" collapsed="false">
      <c r="N202" s="119" t="n">
        <v>302.15</v>
      </c>
      <c r="O202" s="120" t="n">
        <v>-0.0265</v>
      </c>
    </row>
    <row r="203" customFormat="false" ht="15.75" hidden="false" customHeight="true" outlineLevel="0" collapsed="false">
      <c r="N203" s="119" t="n">
        <v>305.21</v>
      </c>
      <c r="O203" s="120" t="n">
        <v>-0.019</v>
      </c>
    </row>
    <row r="204" customFormat="false" ht="15.75" hidden="false" customHeight="true" outlineLevel="0" collapsed="false">
      <c r="N204" s="119" t="n">
        <v>306.46</v>
      </c>
      <c r="O204" s="120" t="n">
        <v>-0.016</v>
      </c>
    </row>
    <row r="205" customFormat="false" ht="15.75" hidden="false" customHeight="true" outlineLevel="0" collapsed="false">
      <c r="N205" s="119" t="n">
        <v>310.01</v>
      </c>
      <c r="O205" s="120" t="n">
        <v>-0.0073</v>
      </c>
    </row>
    <row r="206" customFormat="false" ht="15.75" hidden="false" customHeight="true" outlineLevel="0" collapsed="false">
      <c r="N206" s="119" t="n">
        <v>321.9</v>
      </c>
      <c r="O206" s="120" t="n">
        <v>0.0218</v>
      </c>
    </row>
    <row r="207" customFormat="false" ht="15.75" hidden="false" customHeight="true" outlineLevel="0" collapsed="false">
      <c r="N207" s="119" t="n">
        <v>328.06</v>
      </c>
      <c r="O207" s="120" t="n">
        <v>0.0369</v>
      </c>
    </row>
    <row r="208" customFormat="false" ht="15.75" hidden="false" customHeight="true" outlineLevel="0" collapsed="false">
      <c r="N208" s="119" t="n">
        <v>335.44</v>
      </c>
      <c r="O208" s="120" t="n">
        <v>0.055</v>
      </c>
    </row>
    <row r="209" customFormat="false" ht="15.75" hidden="false" customHeight="true" outlineLevel="0" collapsed="false">
      <c r="N209" s="119" t="n">
        <v>340.99</v>
      </c>
      <c r="O209" s="120" t="n">
        <v>0.0686</v>
      </c>
    </row>
    <row r="210" customFormat="false" ht="15.75" hidden="false" customHeight="true" outlineLevel="0" collapsed="false">
      <c r="N210" s="119" t="n">
        <v>344.29</v>
      </c>
      <c r="O210" s="120" t="n">
        <v>0.0767</v>
      </c>
    </row>
    <row r="211" customFormat="false" ht="15.75" hidden="false" customHeight="true" outlineLevel="0" collapsed="false">
      <c r="N211" s="119" t="n">
        <v>348.49</v>
      </c>
      <c r="O211" s="120" t="n">
        <v>0.0869</v>
      </c>
    </row>
    <row r="212" customFormat="false" ht="15.75" hidden="false" customHeight="true" outlineLevel="0" collapsed="false">
      <c r="N212" s="119" t="n">
        <v>352.6</v>
      </c>
      <c r="O212" s="120" t="n">
        <v>0.097</v>
      </c>
    </row>
    <row r="213" customFormat="false" ht="15.75" hidden="false" customHeight="true" outlineLevel="0" collapsed="false">
      <c r="N213" s="119" t="n">
        <v>359.15</v>
      </c>
      <c r="O213" s="120" t="n">
        <v>0.113</v>
      </c>
    </row>
    <row r="214" customFormat="false" ht="15.75" hidden="false" customHeight="true" outlineLevel="0" collapsed="false">
      <c r="N214" s="119" t="n">
        <v>367.05</v>
      </c>
      <c r="O214" s="120" t="n">
        <v>0.1324</v>
      </c>
    </row>
    <row r="215" customFormat="false" ht="15.75" hidden="false" customHeight="true" outlineLevel="0" collapsed="false">
      <c r="N215" s="119" t="n">
        <v>373.63</v>
      </c>
      <c r="O215" s="120" t="n">
        <v>0.1485</v>
      </c>
    </row>
    <row r="216" customFormat="false" ht="15.75" hidden="false" customHeight="true" outlineLevel="0" collapsed="false">
      <c r="N216" s="119" t="n">
        <v>375.73</v>
      </c>
      <c r="O216" s="120" t="n">
        <v>0.1536</v>
      </c>
    </row>
    <row r="217" customFormat="false" ht="15.75" hidden="false" customHeight="true" outlineLevel="0" collapsed="false">
      <c r="N217" s="119" t="n">
        <v>380.31</v>
      </c>
      <c r="O217" s="120" t="n">
        <v>0.1648</v>
      </c>
    </row>
    <row r="218" customFormat="false" ht="15.75" hidden="false" customHeight="true" outlineLevel="0" collapsed="false">
      <c r="N218" s="119" t="n">
        <v>382.32</v>
      </c>
      <c r="O218" s="120" t="n">
        <v>0.1698</v>
      </c>
    </row>
    <row r="219" customFormat="false" ht="15.75" hidden="false" customHeight="true" outlineLevel="0" collapsed="false">
      <c r="N219" s="119" t="n">
        <v>387.75</v>
      </c>
      <c r="O219" s="120" t="n">
        <v>0.1831</v>
      </c>
    </row>
    <row r="220" customFormat="false" ht="15.75" hidden="false" customHeight="true" outlineLevel="0" collapsed="false">
      <c r="N220" s="119" t="n">
        <v>392.31</v>
      </c>
      <c r="O220" s="120" t="n">
        <v>0.1942</v>
      </c>
    </row>
    <row r="221" customFormat="false" ht="15.75" hidden="false" customHeight="true" outlineLevel="0" collapsed="false">
      <c r="N221" s="119" t="n">
        <v>401.06</v>
      </c>
      <c r="O221" s="120" t="n">
        <v>0.2156</v>
      </c>
    </row>
    <row r="222" customFormat="false" ht="15.75" hidden="false" customHeight="true" outlineLevel="0" collapsed="false">
      <c r="N222" s="119" t="n">
        <v>405.7</v>
      </c>
      <c r="O222" s="120" t="n">
        <v>0.227</v>
      </c>
    </row>
    <row r="223" customFormat="false" ht="15.75" hidden="false" customHeight="true" outlineLevel="0" collapsed="false">
      <c r="N223" s="119" t="n">
        <v>418.64</v>
      </c>
      <c r="O223" s="120" t="n">
        <v>0.2587</v>
      </c>
    </row>
    <row r="224" customFormat="false" ht="15.75" hidden="false" customHeight="true" outlineLevel="0" collapsed="false">
      <c r="N224" s="119" t="n">
        <v>419.19</v>
      </c>
      <c r="O224" s="120" t="n">
        <v>0.26</v>
      </c>
    </row>
    <row r="225" customFormat="false" ht="15.75" hidden="false" customHeight="true" outlineLevel="0" collapsed="false">
      <c r="N225" s="119" t="n">
        <v>419.52</v>
      </c>
      <c r="O225" s="120" t="n">
        <v>0.2608</v>
      </c>
    </row>
    <row r="226" customFormat="false" ht="15.75" hidden="false" customHeight="true" outlineLevel="0" collapsed="false">
      <c r="N226" s="119" t="n">
        <v>423.35</v>
      </c>
      <c r="O226" s="120" t="n">
        <v>0.2702</v>
      </c>
    </row>
    <row r="227" customFormat="false" ht="15.75" hidden="false" customHeight="true" outlineLevel="0" collapsed="false">
      <c r="N227" s="119" t="n">
        <v>432.53</v>
      </c>
      <c r="O227" s="120" t="n">
        <v>0.2927</v>
      </c>
    </row>
    <row r="228" customFormat="false" ht="15.75" hidden="false" customHeight="true" outlineLevel="0" collapsed="false">
      <c r="N228" s="119" t="n">
        <v>434.63</v>
      </c>
      <c r="O228" s="120" t="n">
        <v>0.2978</v>
      </c>
    </row>
    <row r="229" customFormat="false" ht="15.75" hidden="false" customHeight="true" outlineLevel="0" collapsed="false">
      <c r="N229" s="119" t="n">
        <v>435.97</v>
      </c>
      <c r="O229" s="120" t="n">
        <v>0.3011</v>
      </c>
    </row>
    <row r="230" customFormat="false" ht="15.75" hidden="false" customHeight="true" outlineLevel="0" collapsed="false">
      <c r="N230" s="119" t="n">
        <v>443.84</v>
      </c>
      <c r="O230" s="120" t="n">
        <v>0.3204</v>
      </c>
    </row>
    <row r="231" customFormat="false" ht="15.75" hidden="false" customHeight="true" outlineLevel="0" collapsed="false">
      <c r="N231" s="119" t="n">
        <v>445.31</v>
      </c>
      <c r="O231" s="120" t="n">
        <v>0.324</v>
      </c>
    </row>
    <row r="232" customFormat="false" ht="15.75" hidden="false" customHeight="true" outlineLevel="0" collapsed="false">
      <c r="N232" s="119" t="n">
        <v>452.94</v>
      </c>
      <c r="O232" s="120" t="n">
        <v>0.3427</v>
      </c>
    </row>
    <row r="233" customFormat="false" ht="15.75" hidden="false" customHeight="true" outlineLevel="0" collapsed="false">
      <c r="N233" s="119" t="n">
        <v>452.98</v>
      </c>
      <c r="O233" s="120" t="n">
        <v>0.3427</v>
      </c>
    </row>
    <row r="234" customFormat="false" ht="15.75" hidden="false" customHeight="true" outlineLevel="0" collapsed="false">
      <c r="N234" s="119" t="n">
        <v>457.19</v>
      </c>
      <c r="O234" s="120" t="n">
        <v>0.3531</v>
      </c>
    </row>
    <row r="235" customFormat="false" ht="15.75" hidden="false" customHeight="true" outlineLevel="0" collapsed="false">
      <c r="N235" s="119" t="n">
        <v>458.26</v>
      </c>
      <c r="O235" s="120" t="n">
        <v>0.3557</v>
      </c>
    </row>
    <row r="236" customFormat="false" ht="15.75" hidden="false" customHeight="true" outlineLevel="0" collapsed="false">
      <c r="N236" s="119" t="n">
        <v>460.77</v>
      </c>
      <c r="O236" s="120" t="n">
        <v>0.3618</v>
      </c>
    </row>
    <row r="237" customFormat="false" ht="15.75" hidden="false" customHeight="true" outlineLevel="0" collapsed="false">
      <c r="N237" s="119" t="n">
        <v>463.5</v>
      </c>
      <c r="O237" s="120" t="n">
        <v>0.3685</v>
      </c>
    </row>
    <row r="238" customFormat="false" ht="15.75" hidden="false" customHeight="true" outlineLevel="0" collapsed="false">
      <c r="N238" s="119" t="n">
        <v>465.95</v>
      </c>
      <c r="O238" s="120" t="n">
        <v>0.3745</v>
      </c>
    </row>
    <row r="239" customFormat="false" ht="15.75" hidden="false" customHeight="true" outlineLevel="0" collapsed="false">
      <c r="N239" s="119" t="n">
        <v>470.1</v>
      </c>
      <c r="O239" s="120" t="n">
        <v>0.3847</v>
      </c>
    </row>
    <row r="240" customFormat="false" ht="15.75" hidden="false" customHeight="true" outlineLevel="0" collapsed="false">
      <c r="N240" s="119" t="n">
        <v>474.12</v>
      </c>
      <c r="O240" s="120" t="n">
        <v>0.3945</v>
      </c>
    </row>
    <row r="241" customFormat="false" ht="15.75" hidden="false" customHeight="true" outlineLevel="0" collapsed="false">
      <c r="N241" s="119" t="n">
        <v>475.89</v>
      </c>
      <c r="O241" s="120" t="n">
        <v>0.3988</v>
      </c>
    </row>
    <row r="242" customFormat="false" ht="15.75" hidden="false" customHeight="true" outlineLevel="0" collapsed="false">
      <c r="N242" s="119" t="n">
        <v>485.01</v>
      </c>
      <c r="O242" s="120" t="n">
        <v>0.4212</v>
      </c>
    </row>
    <row r="243" customFormat="false" ht="15.75" hidden="false" customHeight="true" outlineLevel="0" collapsed="false">
      <c r="N243" s="119" t="n">
        <v>487.56</v>
      </c>
      <c r="O243" s="120" t="n">
        <v>0.4274</v>
      </c>
    </row>
    <row r="244" customFormat="false" ht="15.75" hidden="false" customHeight="true" outlineLevel="0" collapsed="false">
      <c r="N244" s="119" t="n">
        <v>488.23</v>
      </c>
      <c r="O244" s="120" t="n">
        <v>0.429</v>
      </c>
    </row>
    <row r="245" customFormat="false" ht="15.75" hidden="false" customHeight="true" outlineLevel="0" collapsed="false">
      <c r="N245" s="119" t="n">
        <v>489.25</v>
      </c>
      <c r="O245" s="120" t="n">
        <v>0.4315</v>
      </c>
    </row>
    <row r="246" customFormat="false" ht="15.75" hidden="false" customHeight="true" outlineLevel="0" collapsed="false">
      <c r="N246" s="119" t="n">
        <v>492.6</v>
      </c>
      <c r="O246" s="120" t="n">
        <v>0.4397</v>
      </c>
    </row>
    <row r="247" customFormat="false" ht="15.75" hidden="false" customHeight="true" outlineLevel="0" collapsed="false">
      <c r="N247" s="119" t="n">
        <v>501.93</v>
      </c>
      <c r="O247" s="120" t="n">
        <v>0.4626</v>
      </c>
    </row>
    <row r="248" customFormat="false" ht="15.75" hidden="false" customHeight="true" outlineLevel="0" collapsed="false">
      <c r="N248" s="119" t="n">
        <v>509.54</v>
      </c>
      <c r="O248" s="120" t="n">
        <v>0.4812</v>
      </c>
    </row>
    <row r="249" customFormat="false" ht="15.75" hidden="false" customHeight="true" outlineLevel="0" collapsed="false">
      <c r="N249" s="119" t="n">
        <v>511.62</v>
      </c>
      <c r="O249" s="120" t="n">
        <v>0.4863</v>
      </c>
    </row>
    <row r="250" customFormat="false" ht="15.75" hidden="false" customHeight="true" outlineLevel="0" collapsed="false">
      <c r="N250" s="119" t="n">
        <v>516.81</v>
      </c>
      <c r="O250" s="120" t="n">
        <v>0.499</v>
      </c>
    </row>
    <row r="251" customFormat="false" ht="15.75" hidden="false" customHeight="true" outlineLevel="0" collapsed="false">
      <c r="N251" s="119" t="n">
        <v>528.51</v>
      </c>
      <c r="O251" s="120" t="n">
        <v>0.5277</v>
      </c>
    </row>
    <row r="252" customFormat="false" ht="15.75" hidden="false" customHeight="true" outlineLevel="0" collapsed="false">
      <c r="N252" s="119" t="n">
        <v>540.16</v>
      </c>
      <c r="O252" s="120" t="n">
        <v>0.5562</v>
      </c>
    </row>
    <row r="253" customFormat="false" ht="15.75" hidden="false" customHeight="true" outlineLevel="0" collapsed="false">
      <c r="N253" s="119" t="n">
        <v>542</v>
      </c>
      <c r="O253" s="120" t="n">
        <v>0.5607</v>
      </c>
    </row>
    <row r="254" customFormat="false" ht="15.75" hidden="false" customHeight="true" outlineLevel="0" collapsed="false">
      <c r="N254" s="119" t="n">
        <v>547.73</v>
      </c>
      <c r="O254" s="120" t="n">
        <v>0.5747</v>
      </c>
    </row>
    <row r="255" customFormat="false" ht="15.75" hidden="false" customHeight="true" outlineLevel="0" collapsed="false">
      <c r="N255" s="119" t="n">
        <v>561.29</v>
      </c>
      <c r="O255" s="120" t="n">
        <v>0.6079</v>
      </c>
    </row>
    <row r="256" customFormat="false" ht="15.75" hidden="false" customHeight="true" outlineLevel="0" collapsed="false">
      <c r="N256" s="119" t="n">
        <v>565.87</v>
      </c>
      <c r="O256" s="120" t="n">
        <v>0.6191</v>
      </c>
    </row>
    <row r="257" customFormat="false" ht="15.75" hidden="false" customHeight="true" outlineLevel="0" collapsed="false">
      <c r="N257" s="119" t="n">
        <v>566.58</v>
      </c>
      <c r="O257" s="120" t="n">
        <v>0.6209</v>
      </c>
    </row>
    <row r="258" customFormat="false" ht="15.75" hidden="false" customHeight="true" outlineLevel="0" collapsed="false">
      <c r="N258" s="119" t="n">
        <v>576.02</v>
      </c>
      <c r="O258" s="120" t="n">
        <v>0.644</v>
      </c>
    </row>
    <row r="259" customFormat="false" ht="15.75" hidden="false" customHeight="true" outlineLevel="0" collapsed="false">
      <c r="N259" s="119" t="n">
        <v>579.03</v>
      </c>
      <c r="O259" s="120" t="n">
        <v>0.6513</v>
      </c>
    </row>
    <row r="260" customFormat="false" ht="15.75" hidden="false" customHeight="true" outlineLevel="0" collapsed="false">
      <c r="N260" s="119" t="n">
        <v>585.67</v>
      </c>
      <c r="O260" s="120" t="n">
        <v>0.6676</v>
      </c>
    </row>
    <row r="261" customFormat="false" ht="15.75" hidden="false" customHeight="true" outlineLevel="0" collapsed="false">
      <c r="N261" s="119" t="n">
        <v>594.87</v>
      </c>
      <c r="O261" s="120" t="n">
        <v>0.6901</v>
      </c>
    </row>
    <row r="262" customFormat="false" ht="15.75" hidden="false" customHeight="true" outlineLevel="0" collapsed="false">
      <c r="N262" s="119" t="n">
        <v>596.33</v>
      </c>
      <c r="O262" s="120" t="n">
        <v>0.6937</v>
      </c>
    </row>
    <row r="263" customFormat="false" ht="15.75" hidden="false" customHeight="true" outlineLevel="0" collapsed="false">
      <c r="N263" s="119" t="n">
        <v>599.45</v>
      </c>
      <c r="O263" s="120" t="n">
        <v>0.7013</v>
      </c>
    </row>
    <row r="264" customFormat="false" ht="15.75" hidden="false" customHeight="true" outlineLevel="0" collapsed="false">
      <c r="N264" s="119" t="n">
        <v>616.26</v>
      </c>
      <c r="O264" s="120" t="n">
        <v>0.7425</v>
      </c>
    </row>
    <row r="265" customFormat="false" ht="15.75" hidden="false" customHeight="true" outlineLevel="0" collapsed="false">
      <c r="N265" s="119" t="n">
        <v>624.47</v>
      </c>
      <c r="O265" s="120" t="n">
        <v>0.7626</v>
      </c>
    </row>
    <row r="266" customFormat="false" ht="15.75" hidden="false" customHeight="true" outlineLevel="0" collapsed="false">
      <c r="N266" s="119" t="n">
        <v>632.89</v>
      </c>
      <c r="O266" s="120" t="n">
        <v>0.7832</v>
      </c>
    </row>
    <row r="267" customFormat="false" ht="15.75" hidden="false" customHeight="true" outlineLevel="0" collapsed="false">
      <c r="N267" s="119" t="n">
        <v>633.52</v>
      </c>
      <c r="O267" s="120" t="n">
        <v>0.7848</v>
      </c>
    </row>
    <row r="268" customFormat="false" ht="15.75" hidden="false" customHeight="true" outlineLevel="0" collapsed="false">
      <c r="N268" s="119" t="n">
        <v>645.38</v>
      </c>
      <c r="O268" s="120" t="n">
        <v>0.8138</v>
      </c>
    </row>
    <row r="269" customFormat="false" ht="15.75" hidden="false" customHeight="true" outlineLevel="0" collapsed="false">
      <c r="N269" s="119" t="n">
        <v>647.63</v>
      </c>
      <c r="O269" s="120" t="n">
        <v>0.8193</v>
      </c>
    </row>
    <row r="270" customFormat="false" ht="15.75" hidden="false" customHeight="true" outlineLevel="0" collapsed="false">
      <c r="N270" s="119" t="n">
        <v>657.72</v>
      </c>
      <c r="O270" s="120" t="n">
        <v>0.844</v>
      </c>
    </row>
    <row r="271" customFormat="false" ht="15.75" hidden="false" customHeight="true" outlineLevel="0" collapsed="false">
      <c r="N271" s="119" t="n">
        <v>663.36</v>
      </c>
      <c r="O271" s="120" t="n">
        <v>0.8578</v>
      </c>
    </row>
    <row r="272" customFormat="false" ht="15.75" hidden="false" customHeight="true" outlineLevel="0" collapsed="false">
      <c r="N272" s="119" t="n">
        <v>667.58</v>
      </c>
      <c r="O272" s="120" t="n">
        <v>0.8681</v>
      </c>
    </row>
    <row r="273" customFormat="false" ht="15.75" hidden="false" customHeight="true" outlineLevel="0" collapsed="false">
      <c r="N273" s="119" t="n">
        <v>713.16</v>
      </c>
      <c r="O273" s="120" t="n">
        <v>0.9797</v>
      </c>
    </row>
    <row r="274" customFormat="false" ht="15.75" hidden="false" customHeight="true" outlineLevel="0" collapsed="false">
      <c r="N274" s="119" t="n">
        <v>722.5</v>
      </c>
      <c r="O274" s="120" t="n">
        <v>1.0026</v>
      </c>
    </row>
    <row r="275" customFormat="false" ht="15.75" hidden="false" customHeight="true" outlineLevel="0" collapsed="false">
      <c r="N275" s="119" t="n">
        <v>732.25</v>
      </c>
      <c r="O275" s="120" t="n">
        <v>1.0265</v>
      </c>
    </row>
    <row r="276" customFormat="false" ht="15.75" hidden="false" customHeight="true" outlineLevel="0" collapsed="false">
      <c r="N276" s="119" t="n">
        <v>732.42</v>
      </c>
      <c r="O276" s="120" t="n">
        <v>1.0269</v>
      </c>
    </row>
    <row r="277" customFormat="false" ht="15.75" hidden="false" customHeight="true" outlineLevel="0" collapsed="false">
      <c r="N277" s="119" t="n">
        <v>740.07</v>
      </c>
      <c r="O277" s="120" t="n">
        <v>1.0456</v>
      </c>
    </row>
    <row r="278" customFormat="false" ht="15.75" hidden="false" customHeight="true" outlineLevel="0" collapsed="false">
      <c r="N278" s="119" t="n">
        <v>790.47</v>
      </c>
      <c r="O278" s="120" t="n">
        <v>1.169</v>
      </c>
    </row>
    <row r="279" customFormat="false" ht="15.75" hidden="false" customHeight="true" outlineLevel="0" collapsed="false">
      <c r="N279" s="119" t="n">
        <v>791.32</v>
      </c>
      <c r="O279" s="120" t="n">
        <v>1.1711</v>
      </c>
    </row>
    <row r="280" customFormat="false" ht="15.75" hidden="false" customHeight="true" outlineLevel="0" collapsed="false">
      <c r="N280" s="119" t="n">
        <v>796.53</v>
      </c>
      <c r="O280" s="120" t="n">
        <v>1.1838</v>
      </c>
    </row>
    <row r="281" customFormat="false" ht="15.75" hidden="false" customHeight="true" outlineLevel="0" collapsed="false">
      <c r="N281" s="119" t="n">
        <v>823.94</v>
      </c>
      <c r="O281" s="120" t="n">
        <v>1.2509</v>
      </c>
    </row>
    <row r="282" customFormat="false" ht="15.75" hidden="false" customHeight="true" outlineLevel="0" collapsed="false">
      <c r="N282" s="119" t="n">
        <v>859.2</v>
      </c>
      <c r="O282" s="120" t="n">
        <v>1.3373</v>
      </c>
    </row>
    <row r="283" customFormat="false" ht="15.75" hidden="false" customHeight="true" outlineLevel="0" collapsed="false">
      <c r="N283" s="119" t="n">
        <v>915.47</v>
      </c>
      <c r="O283" s="120" t="n">
        <v>1.475</v>
      </c>
    </row>
    <row r="284" customFormat="false" ht="15.75" hidden="false" customHeight="true" outlineLevel="0" collapsed="false">
      <c r="N284" s="119" t="n">
        <v>916.66</v>
      </c>
      <c r="O284" s="120" t="n">
        <v>1.4779</v>
      </c>
    </row>
    <row r="285" customFormat="false" ht="15.75" hidden="false" customHeight="true" outlineLevel="0" collapsed="false">
      <c r="N285" s="119" t="n">
        <v>944.42</v>
      </c>
      <c r="O285" s="120" t="n">
        <v>1.5459</v>
      </c>
    </row>
    <row r="286" customFormat="false" ht="15.75" hidden="false" customHeight="true" outlineLevel="0" collapsed="false">
      <c r="N286" s="119" t="n">
        <v>991.96</v>
      </c>
      <c r="O286" s="120" t="n">
        <v>1.6623</v>
      </c>
    </row>
    <row r="287" customFormat="false" ht="15.75" hidden="false" customHeight="true" outlineLevel="0" collapsed="false">
      <c r="N287" s="119" t="n">
        <v>1023.54</v>
      </c>
      <c r="O287" s="120" t="n">
        <v>1.7396</v>
      </c>
    </row>
    <row r="288" customFormat="false" ht="15.75" hidden="false" customHeight="true" outlineLevel="0" collapsed="false">
      <c r="N288" s="119" t="n">
        <v>1064.37</v>
      </c>
      <c r="O288" s="120" t="n">
        <v>1.8396</v>
      </c>
    </row>
    <row r="289" customFormat="false" ht="15.75" hidden="false" customHeight="true" outlineLevel="0" collapsed="false">
      <c r="N289" s="119" t="n">
        <v>1069.67</v>
      </c>
      <c r="O289" s="120" t="n">
        <v>1.8525</v>
      </c>
    </row>
    <row r="290" customFormat="false" ht="15.75" hidden="false" customHeight="true" outlineLevel="0" collapsed="false">
      <c r="N290" s="119" t="n">
        <v>1097.73</v>
      </c>
      <c r="O290" s="120" t="n">
        <v>1.9212</v>
      </c>
    </row>
    <row r="291" customFormat="false" ht="15.75" hidden="false" customHeight="true" outlineLevel="0" collapsed="false">
      <c r="N291" s="119" t="n">
        <v>1122.17</v>
      </c>
      <c r="O291" s="120" t="n">
        <v>1.9811</v>
      </c>
    </row>
    <row r="292" customFormat="false" ht="15.75" hidden="false" customHeight="true" outlineLevel="0" collapsed="false">
      <c r="N292" s="119" t="n">
        <v>1191.19</v>
      </c>
      <c r="O292" s="120" t="n">
        <v>2.15</v>
      </c>
    </row>
    <row r="293" customFormat="false" ht="15.75" hidden="false" customHeight="true" outlineLevel="0" collapsed="false">
      <c r="N293" s="119" t="n">
        <v>1278.63</v>
      </c>
      <c r="O293" s="120" t="n">
        <v>2.3641</v>
      </c>
    </row>
    <row r="294" customFormat="false" ht="15.75" hidden="false" customHeight="true" outlineLevel="0" collapsed="false">
      <c r="N294" s="119" t="n">
        <v>1630.39</v>
      </c>
      <c r="O294" s="120" t="n">
        <v>3.2253</v>
      </c>
    </row>
    <row r="295" customFormat="false" ht="15.75" hidden="false" customHeight="true" outlineLevel="0" collapsed="false">
      <c r="N295" s="119" t="n">
        <v>2408.29</v>
      </c>
      <c r="O295" s="120" t="n">
        <v>5.1298</v>
      </c>
    </row>
    <row r="296" customFormat="false" ht="15.75" hidden="false" customHeight="true" outlineLevel="0" collapsed="false">
      <c r="N296" s="119" t="n">
        <v>2649.39</v>
      </c>
      <c r="O296" s="120" t="n">
        <v>5.72</v>
      </c>
    </row>
    <row r="297" customFormat="false" ht="15.75" hidden="false" customHeight="true" outlineLevel="0" collapsed="false">
      <c r="N297" s="119" t="n">
        <v>3002.05</v>
      </c>
      <c r="O297" s="120" t="n">
        <v>6.5834</v>
      </c>
    </row>
    <row r="298" customFormat="false" ht="15.75" hidden="false" customHeight="true" outlineLevel="0" collapsed="false">
      <c r="N298" s="119" t="n">
        <v>3465.69</v>
      </c>
      <c r="O298" s="120" t="n">
        <v>7.7185</v>
      </c>
    </row>
  </sheetData>
  <mergeCells count="4">
    <mergeCell ref="A1:N1"/>
    <mergeCell ref="A2:N2"/>
    <mergeCell ref="A4:F4"/>
    <mergeCell ref="A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24"/>
    <col collapsed="false" customWidth="true" hidden="false" outlineLevel="0" max="9" min="9" style="1" width="14"/>
    <col collapsed="false" customWidth="true" hidden="false" outlineLevel="0" max="11" min="11" style="1" width="18"/>
    <col collapsed="false" customWidth="true" hidden="false" outlineLevel="0" max="13" min="12" style="1" width="14"/>
    <col collapsed="false" customWidth="true" hidden="false" outlineLevel="0" max="15" min="15" style="1" width="18"/>
    <col collapsed="false" customWidth="true" hidden="false" outlineLevel="0" max="16" min="16" style="1" width="14"/>
  </cols>
  <sheetData>
    <row r="1" customFormat="false" ht="37.5" hidden="false" customHeight="true" outlineLevel="0" collapsed="false">
      <c r="A1" s="2" t="s">
        <v>500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3" t="s">
        <v>501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7.5" hidden="false" customHeight="true" outlineLevel="0" collapsed="false"/>
    <row r="4" customFormat="false" ht="21.75" hidden="false" customHeight="true" outlineLevel="0" collapsed="false">
      <c r="A4" s="132" t="s">
        <v>502</v>
      </c>
      <c r="B4" s="132"/>
      <c r="D4" s="133" t="s">
        <v>503</v>
      </c>
      <c r="E4" s="133"/>
      <c r="G4" s="134" t="s">
        <v>504</v>
      </c>
      <c r="H4" s="134"/>
      <c r="J4" s="135" t="s">
        <v>505</v>
      </c>
      <c r="K4" s="135"/>
      <c r="M4" s="136" t="s">
        <v>506</v>
      </c>
      <c r="N4" s="136"/>
    </row>
    <row r="5" customFormat="false" ht="21.75" hidden="false" customHeight="true" outlineLevel="0" collapsed="false">
      <c r="A5" s="137" t="s">
        <v>507</v>
      </c>
      <c r="B5" s="137"/>
      <c r="D5" s="138" t="s">
        <v>508</v>
      </c>
      <c r="E5" s="138"/>
      <c r="G5" s="139" t="s">
        <v>509</v>
      </c>
      <c r="H5" s="139"/>
      <c r="J5" s="140" t="s">
        <v>510</v>
      </c>
      <c r="K5" s="140"/>
      <c r="M5" s="141" t="s">
        <v>511</v>
      </c>
      <c r="N5" s="141"/>
    </row>
    <row r="6" customFormat="false" ht="21.75" hidden="false" customHeight="true" outlineLevel="0" collapsed="false">
      <c r="A6" s="142" t="s">
        <v>512</v>
      </c>
      <c r="B6" s="142"/>
      <c r="D6" s="143" t="s">
        <v>513</v>
      </c>
      <c r="E6" s="143"/>
      <c r="G6" s="144" t="s">
        <v>514</v>
      </c>
      <c r="H6" s="144"/>
      <c r="J6" s="145" t="s">
        <v>407</v>
      </c>
      <c r="K6" s="145"/>
      <c r="M6" s="146" t="s">
        <v>515</v>
      </c>
      <c r="N6" s="146"/>
    </row>
    <row r="7" customFormat="false" ht="21.75" hidden="false" customHeight="true" outlineLevel="0" collapsed="false">
      <c r="A7" s="147"/>
      <c r="B7" s="147"/>
      <c r="D7" s="148"/>
      <c r="E7" s="148"/>
      <c r="G7" s="149"/>
      <c r="H7" s="149"/>
      <c r="J7" s="150"/>
      <c r="K7" s="150"/>
      <c r="M7" s="151"/>
      <c r="N7" s="151"/>
    </row>
    <row r="8" customFormat="false" ht="12" hidden="false" customHeight="true" outlineLevel="0" collapsed="false"/>
    <row r="9" customFormat="false" ht="25.5" hidden="false" customHeight="true" outlineLevel="0" collapsed="false">
      <c r="A9" s="33" t="s">
        <v>516</v>
      </c>
      <c r="B9" s="33"/>
      <c r="C9" s="33"/>
      <c r="D9" s="33"/>
      <c r="E9" s="33"/>
      <c r="F9" s="33"/>
      <c r="G9" s="33"/>
      <c r="H9" s="33"/>
      <c r="I9" s="33"/>
    </row>
    <row r="10" customFormat="false" ht="30" hidden="false" customHeight="true" outlineLevel="0" collapsed="false">
      <c r="A10" s="53" t="s">
        <v>5</v>
      </c>
      <c r="B10" s="53" t="s">
        <v>9</v>
      </c>
      <c r="C10" s="53" t="s">
        <v>517</v>
      </c>
      <c r="D10" s="53" t="s">
        <v>444</v>
      </c>
      <c r="E10" s="53" t="s">
        <v>16</v>
      </c>
      <c r="F10" s="53" t="s">
        <v>518</v>
      </c>
      <c r="G10" s="53" t="s">
        <v>519</v>
      </c>
      <c r="H10" s="53" t="s">
        <v>520</v>
      </c>
      <c r="I10" s="53" t="s">
        <v>521</v>
      </c>
      <c r="K10" s="152" t="s">
        <v>5</v>
      </c>
      <c r="L10" s="152" t="s">
        <v>522</v>
      </c>
      <c r="M10" s="152" t="s">
        <v>523</v>
      </c>
      <c r="O10" s="153" t="s">
        <v>5</v>
      </c>
      <c r="P10" s="153" t="s">
        <v>524</v>
      </c>
    </row>
    <row r="11" customFormat="false" ht="21.75" hidden="false" customHeight="true" outlineLevel="0" collapsed="false">
      <c r="A11" s="35" t="s">
        <v>52</v>
      </c>
      <c r="B11" s="101" t="n">
        <v>10800</v>
      </c>
      <c r="C11" s="101" t="n">
        <v>10861.26</v>
      </c>
      <c r="D11" s="154" t="n">
        <v>-61.26</v>
      </c>
      <c r="E11" s="155" t="n">
        <v>0.9943</v>
      </c>
      <c r="F11" s="14" t="n">
        <v>0.016</v>
      </c>
      <c r="G11" s="16" t="n">
        <v>1</v>
      </c>
      <c r="H11" s="156" t="s">
        <v>525</v>
      </c>
      <c r="I11" s="99" t="s">
        <v>526</v>
      </c>
      <c r="K11" s="157" t="s">
        <v>52</v>
      </c>
      <c r="L11" s="158" t="n">
        <v>10800</v>
      </c>
      <c r="M11" s="158" t="n">
        <v>10861.26</v>
      </c>
      <c r="O11" s="157" t="s">
        <v>52</v>
      </c>
      <c r="P11" s="158" t="n">
        <v>10861.26</v>
      </c>
    </row>
    <row r="12" customFormat="false" ht="21.75" hidden="false" customHeight="true" outlineLevel="0" collapsed="false">
      <c r="A12" s="38" t="s">
        <v>41</v>
      </c>
      <c r="B12" s="97" t="n">
        <v>28200</v>
      </c>
      <c r="C12" s="97" t="n">
        <v>27946.74</v>
      </c>
      <c r="D12" s="159" t="n">
        <v>253.26</v>
      </c>
      <c r="E12" s="160" t="n">
        <v>0.991</v>
      </c>
      <c r="F12" s="24" t="n">
        <v>1.372</v>
      </c>
      <c r="G12" s="20" t="n">
        <v>5</v>
      </c>
      <c r="H12" s="161" t="s">
        <v>525</v>
      </c>
      <c r="I12" s="55" t="s">
        <v>527</v>
      </c>
      <c r="K12" s="157" t="s">
        <v>41</v>
      </c>
      <c r="L12" s="158" t="n">
        <v>28200</v>
      </c>
      <c r="M12" s="158" t="n">
        <v>27946.74</v>
      </c>
      <c r="O12" s="157" t="s">
        <v>41</v>
      </c>
      <c r="P12" s="158" t="n">
        <v>27946.74</v>
      </c>
    </row>
    <row r="13" customFormat="false" ht="21.75" hidden="false" customHeight="true" outlineLevel="0" collapsed="false">
      <c r="A13" s="35" t="s">
        <v>20</v>
      </c>
      <c r="B13" s="101" t="n">
        <v>4200</v>
      </c>
      <c r="C13" s="101" t="n">
        <v>4862.37</v>
      </c>
      <c r="D13" s="154" t="n">
        <v>-662.37</v>
      </c>
      <c r="E13" s="155" t="n">
        <v>0.8423</v>
      </c>
      <c r="F13" s="14" t="n">
        <v>-0.416</v>
      </c>
      <c r="G13" s="16" t="n">
        <v>0</v>
      </c>
      <c r="H13" s="156" t="s">
        <v>528</v>
      </c>
      <c r="I13" s="99" t="s">
        <v>529</v>
      </c>
      <c r="K13" s="157" t="s">
        <v>20</v>
      </c>
      <c r="L13" s="158" t="n">
        <v>4200</v>
      </c>
      <c r="M13" s="158" t="n">
        <v>4862.37</v>
      </c>
      <c r="O13" s="157" t="s">
        <v>20</v>
      </c>
      <c r="P13" s="158" t="n">
        <v>4862.37</v>
      </c>
    </row>
    <row r="14" customFormat="false" ht="21.75" hidden="false" customHeight="true" outlineLevel="0" collapsed="false">
      <c r="A14" s="38" t="s">
        <v>27</v>
      </c>
      <c r="B14" s="97" t="n">
        <v>8640</v>
      </c>
      <c r="C14" s="97" t="n">
        <v>8396.21</v>
      </c>
      <c r="D14" s="159" t="n">
        <v>243.79</v>
      </c>
      <c r="E14" s="160" t="n">
        <v>0.9718</v>
      </c>
      <c r="F14" s="24" t="n">
        <v>-0.239</v>
      </c>
      <c r="G14" s="26" t="n">
        <v>0</v>
      </c>
      <c r="H14" s="161" t="s">
        <v>525</v>
      </c>
      <c r="I14" s="55" t="s">
        <v>527</v>
      </c>
      <c r="K14" s="157" t="s">
        <v>27</v>
      </c>
      <c r="L14" s="158" t="n">
        <v>8640</v>
      </c>
      <c r="M14" s="158" t="n">
        <v>8396.21</v>
      </c>
      <c r="O14" s="157" t="s">
        <v>27</v>
      </c>
      <c r="P14" s="158" t="n">
        <v>8396.21</v>
      </c>
    </row>
    <row r="15" customFormat="false" ht="21.75" hidden="false" customHeight="true" outlineLevel="0" collapsed="false">
      <c r="A15" s="35" t="s">
        <v>31</v>
      </c>
      <c r="B15" s="101" t="n">
        <v>3360</v>
      </c>
      <c r="C15" s="101" t="n">
        <v>3667.92</v>
      </c>
      <c r="D15" s="154" t="n">
        <v>-307.92</v>
      </c>
      <c r="E15" s="155" t="n">
        <v>0.9084</v>
      </c>
      <c r="F15" s="14" t="n">
        <v>-0.467</v>
      </c>
      <c r="G15" s="16" t="n">
        <v>0</v>
      </c>
      <c r="H15" s="156" t="s">
        <v>530</v>
      </c>
      <c r="I15" s="99" t="s">
        <v>526</v>
      </c>
      <c r="K15" s="157" t="s">
        <v>31</v>
      </c>
      <c r="L15" s="158" t="n">
        <v>3360</v>
      </c>
      <c r="M15" s="158" t="n">
        <v>3667.92</v>
      </c>
      <c r="O15" s="157" t="s">
        <v>31</v>
      </c>
      <c r="P15" s="158" t="n">
        <v>3667.92</v>
      </c>
    </row>
    <row r="16" customFormat="false" ht="21.75" hidden="false" customHeight="true" outlineLevel="0" collapsed="false">
      <c r="A16" s="38" t="s">
        <v>36</v>
      </c>
      <c r="B16" s="97" t="n">
        <v>4800</v>
      </c>
      <c r="C16" s="97" t="n">
        <v>4072.44</v>
      </c>
      <c r="D16" s="159" t="n">
        <v>727.56</v>
      </c>
      <c r="E16" s="160" t="n">
        <v>0.8484</v>
      </c>
      <c r="F16" s="24" t="n">
        <v>-0.511</v>
      </c>
      <c r="G16" s="26" t="n">
        <v>0</v>
      </c>
      <c r="H16" s="161" t="s">
        <v>528</v>
      </c>
      <c r="I16" s="55" t="s">
        <v>527</v>
      </c>
      <c r="K16" s="157" t="s">
        <v>36</v>
      </c>
      <c r="L16" s="158" t="n">
        <v>4800</v>
      </c>
      <c r="M16" s="158" t="n">
        <v>4072.44</v>
      </c>
      <c r="O16" s="157" t="s">
        <v>36</v>
      </c>
      <c r="P16" s="158" t="n">
        <v>4072.44</v>
      </c>
    </row>
    <row r="17" customFormat="false" ht="21.75" hidden="false" customHeight="true" outlineLevel="0" collapsed="false">
      <c r="A17" s="35" t="s">
        <v>85</v>
      </c>
      <c r="B17" s="101" t="n">
        <v>30000</v>
      </c>
      <c r="C17" s="101" t="n">
        <v>26012.43</v>
      </c>
      <c r="D17" s="162" t="n">
        <v>3987.57</v>
      </c>
      <c r="E17" s="155" t="n">
        <v>0.8671</v>
      </c>
      <c r="F17" s="14" t="n">
        <v>0.715</v>
      </c>
      <c r="G17" s="16" t="n">
        <v>1</v>
      </c>
      <c r="H17" s="156" t="s">
        <v>531</v>
      </c>
      <c r="I17" s="99" t="s">
        <v>527</v>
      </c>
      <c r="K17" s="157" t="s">
        <v>85</v>
      </c>
      <c r="L17" s="158" t="n">
        <v>30000</v>
      </c>
      <c r="M17" s="158" t="n">
        <v>26012.43</v>
      </c>
      <c r="O17" s="157" t="s">
        <v>85</v>
      </c>
      <c r="P17" s="158" t="n">
        <v>26012.43</v>
      </c>
    </row>
    <row r="18" customFormat="false" ht="21.75" hidden="false" customHeight="true" outlineLevel="0" collapsed="false">
      <c r="A18" s="38" t="s">
        <v>76</v>
      </c>
      <c r="B18" s="97" t="n">
        <v>3600</v>
      </c>
      <c r="C18" s="97" t="n">
        <v>3067.25</v>
      </c>
      <c r="D18" s="159" t="n">
        <v>532.75</v>
      </c>
      <c r="E18" s="160" t="n">
        <v>0.852</v>
      </c>
      <c r="F18" s="24" t="n">
        <v>-0.539</v>
      </c>
      <c r="G18" s="26" t="n">
        <v>0</v>
      </c>
      <c r="H18" s="161" t="s">
        <v>531</v>
      </c>
      <c r="I18" s="55" t="s">
        <v>527</v>
      </c>
      <c r="K18" s="157" t="s">
        <v>76</v>
      </c>
      <c r="L18" s="158" t="n">
        <v>3600</v>
      </c>
      <c r="M18" s="158" t="n">
        <v>3067.25</v>
      </c>
      <c r="O18" s="157" t="s">
        <v>76</v>
      </c>
      <c r="P18" s="158" t="n">
        <v>3067.25</v>
      </c>
    </row>
  </sheetData>
  <mergeCells count="23">
    <mergeCell ref="A1:P1"/>
    <mergeCell ref="A2:P2"/>
    <mergeCell ref="A4:B4"/>
    <mergeCell ref="D4:E4"/>
    <mergeCell ref="G4:H4"/>
    <mergeCell ref="J4:K4"/>
    <mergeCell ref="M4:N4"/>
    <mergeCell ref="A5:B5"/>
    <mergeCell ref="D5:E5"/>
    <mergeCell ref="G5:H5"/>
    <mergeCell ref="J5:K5"/>
    <mergeCell ref="M5:N5"/>
    <mergeCell ref="A6:B6"/>
    <mergeCell ref="D6:E6"/>
    <mergeCell ref="G6:H6"/>
    <mergeCell ref="J6:K6"/>
    <mergeCell ref="M6:N6"/>
    <mergeCell ref="A7:B7"/>
    <mergeCell ref="D7:E7"/>
    <mergeCell ref="G7:H7"/>
    <mergeCell ref="J7:K7"/>
    <mergeCell ref="M7:N7"/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2" activeCellId="0" sqref="R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13" min="2" style="1" width="9"/>
    <col collapsed="false" customWidth="true" hidden="false" outlineLevel="0" max="14" min="14" style="1" width="13"/>
    <col collapsed="false" customWidth="true" hidden="false" outlineLevel="0" max="15" min="15" style="1" width="10"/>
    <col collapsed="false" customWidth="true" hidden="false" outlineLevel="0" max="16" min="16" style="1" width="12"/>
  </cols>
  <sheetData>
    <row r="1" customFormat="false" ht="37.5" hidden="false" customHeight="true" outlineLevel="0" collapsed="false">
      <c r="A1" s="2" t="s">
        <v>532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9.5" hidden="false" customHeight="true" outlineLevel="0" collapsed="false">
      <c r="A2" s="3" t="s">
        <v>533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7.5" hidden="false" customHeight="true" outlineLevel="0" collapsed="false"/>
    <row r="4" customFormat="false" ht="25.5" hidden="false" customHeight="true" outlineLevel="0" collapsed="false">
      <c r="A4" s="33" t="s">
        <v>534</v>
      </c>
      <c r="B4" s="33"/>
      <c r="C4" s="33"/>
    </row>
    <row r="5" customFormat="false" ht="49.5" hidden="false" customHeight="true" outlineLevel="0" collapsed="false">
      <c r="A5" s="163" t="s">
        <v>535</v>
      </c>
      <c r="B5" s="163"/>
      <c r="C5" s="164" t="n">
        <v>0.7648</v>
      </c>
      <c r="D5" s="165" t="s">
        <v>536</v>
      </c>
    </row>
    <row r="6" customFormat="false" ht="9.75" hidden="false" customHeight="true" outlineLevel="0" collapsed="false"/>
    <row r="7" customFormat="false" ht="25.5" hidden="false" customHeight="true" outlineLevel="0" collapsed="false">
      <c r="A7" s="33" t="s">
        <v>537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customFormat="false" ht="30" hidden="false" customHeight="true" outlineLevel="0" collapsed="false">
      <c r="A8" s="166" t="s">
        <v>5</v>
      </c>
      <c r="B8" s="37" t="s">
        <v>449</v>
      </c>
      <c r="C8" s="37" t="s">
        <v>452</v>
      </c>
      <c r="D8" s="37" t="s">
        <v>455</v>
      </c>
      <c r="E8" s="37" t="s">
        <v>458</v>
      </c>
      <c r="F8" s="37" t="s">
        <v>461</v>
      </c>
      <c r="G8" s="37" t="s">
        <v>464</v>
      </c>
      <c r="H8" s="37" t="s">
        <v>467</v>
      </c>
      <c r="I8" s="37" t="s">
        <v>469</v>
      </c>
      <c r="J8" s="37" t="s">
        <v>472</v>
      </c>
      <c r="K8" s="37" t="s">
        <v>475</v>
      </c>
      <c r="L8" s="37" t="s">
        <v>476</v>
      </c>
      <c r="M8" s="37" t="s">
        <v>477</v>
      </c>
      <c r="N8" s="53" t="s">
        <v>538</v>
      </c>
      <c r="O8" s="53" t="s">
        <v>539</v>
      </c>
      <c r="P8" s="53" t="s">
        <v>432</v>
      </c>
    </row>
    <row r="9" customFormat="false" ht="24" hidden="false" customHeight="true" outlineLevel="0" collapsed="false">
      <c r="A9" s="35" t="s">
        <v>52</v>
      </c>
      <c r="B9" s="167" t="n">
        <v>0.8973</v>
      </c>
      <c r="C9" s="167" t="n">
        <v>0.8756</v>
      </c>
      <c r="D9" s="167" t="n">
        <v>0.8651</v>
      </c>
      <c r="E9" s="167" t="n">
        <v>0.7958</v>
      </c>
      <c r="F9" s="167" t="n">
        <v>0.9456</v>
      </c>
      <c r="G9" s="167" t="n">
        <v>0.9828</v>
      </c>
      <c r="H9" s="167" t="n">
        <v>0.6765</v>
      </c>
      <c r="I9" s="167" t="n">
        <v>0.8796</v>
      </c>
      <c r="J9" s="167" t="n">
        <v>0.9355</v>
      </c>
      <c r="K9" s="167" t="n">
        <v>0.9932</v>
      </c>
      <c r="L9" s="167" t="n">
        <v>0.8028</v>
      </c>
      <c r="M9" s="167" t="n">
        <v>0.9993</v>
      </c>
      <c r="N9" s="155" t="n">
        <v>0.8874</v>
      </c>
      <c r="O9" s="100" t="s">
        <v>540</v>
      </c>
      <c r="P9" s="168" t="s">
        <v>541</v>
      </c>
    </row>
    <row r="10" customFormat="false" ht="24" hidden="false" customHeight="true" outlineLevel="0" collapsed="false">
      <c r="A10" s="38" t="s">
        <v>41</v>
      </c>
      <c r="B10" s="169" t="n">
        <v>0.9688</v>
      </c>
      <c r="C10" s="169" t="n">
        <v>0.7675</v>
      </c>
      <c r="D10" s="169" t="n">
        <v>0.8698</v>
      </c>
      <c r="E10" s="169" t="n">
        <v>0.9223</v>
      </c>
      <c r="F10" s="169" t="n">
        <v>0.8282</v>
      </c>
      <c r="G10" s="169" t="n">
        <v>0.7225</v>
      </c>
      <c r="H10" s="169" t="n">
        <v>0.96</v>
      </c>
      <c r="I10" s="169" t="n">
        <v>0.8726</v>
      </c>
      <c r="J10" s="169" t="n">
        <v>0.6938</v>
      </c>
      <c r="K10" s="169" t="n">
        <v>0.9388</v>
      </c>
      <c r="L10" s="169" t="n">
        <v>0.9752</v>
      </c>
      <c r="M10" s="169" t="n">
        <v>0.7514</v>
      </c>
      <c r="N10" s="160" t="n">
        <v>0.8559</v>
      </c>
      <c r="O10" s="96" t="s">
        <v>540</v>
      </c>
      <c r="P10" s="170" t="s">
        <v>542</v>
      </c>
    </row>
    <row r="11" customFormat="false" ht="24" hidden="false" customHeight="true" outlineLevel="0" collapsed="false">
      <c r="A11" s="35" t="s">
        <v>20</v>
      </c>
      <c r="B11" s="167" t="n">
        <v>0.6657</v>
      </c>
      <c r="C11" s="167" t="n">
        <v>0.9315</v>
      </c>
      <c r="D11" s="167" t="n">
        <v>0.3004</v>
      </c>
      <c r="E11" s="167" t="n">
        <v>0.2527</v>
      </c>
      <c r="F11" s="167" t="n">
        <v>0.8071</v>
      </c>
      <c r="G11" s="167" t="n">
        <v>0.795</v>
      </c>
      <c r="H11" s="167" t="n">
        <v>0.8756</v>
      </c>
      <c r="I11" s="167" t="n">
        <v>0.7621</v>
      </c>
      <c r="J11" s="167" t="n">
        <v>0.8354</v>
      </c>
      <c r="K11" s="167" t="n">
        <v>0.6353</v>
      </c>
      <c r="L11" s="167" t="n">
        <v>0.9597</v>
      </c>
      <c r="M11" s="167" t="n">
        <v>0.8791</v>
      </c>
      <c r="N11" s="171" t="n">
        <v>0.725</v>
      </c>
      <c r="O11" s="100" t="s">
        <v>543</v>
      </c>
      <c r="P11" s="168" t="s">
        <v>541</v>
      </c>
    </row>
    <row r="12" customFormat="false" ht="24" hidden="false" customHeight="true" outlineLevel="0" collapsed="false">
      <c r="A12" s="38" t="s">
        <v>27</v>
      </c>
      <c r="B12" s="169" t="n">
        <v>0.66</v>
      </c>
      <c r="C12" s="169" t="n">
        <v>0.9266</v>
      </c>
      <c r="D12" s="169" t="n">
        <v>0.7664</v>
      </c>
      <c r="E12" s="169" t="n">
        <v>0.9606</v>
      </c>
      <c r="F12" s="169" t="n">
        <v>0.9814</v>
      </c>
      <c r="G12" s="169" t="n">
        <v>0.8996</v>
      </c>
      <c r="H12" s="169" t="n">
        <v>0.4414</v>
      </c>
      <c r="I12" s="169" t="n">
        <v>0.8372</v>
      </c>
      <c r="J12" s="169" t="n">
        <v>0.8918</v>
      </c>
      <c r="K12" s="169" t="n">
        <v>0.7976</v>
      </c>
      <c r="L12" s="169" t="n">
        <v>0.4782</v>
      </c>
      <c r="M12" s="169" t="n">
        <v>0.864</v>
      </c>
      <c r="N12" s="172" t="n">
        <v>0.7921</v>
      </c>
      <c r="O12" s="96" t="s">
        <v>543</v>
      </c>
      <c r="P12" s="170" t="s">
        <v>544</v>
      </c>
    </row>
    <row r="13" customFormat="false" ht="24" hidden="false" customHeight="true" outlineLevel="0" collapsed="false">
      <c r="A13" s="35" t="s">
        <v>31</v>
      </c>
      <c r="B13" s="167" t="n">
        <v>0.921</v>
      </c>
      <c r="C13" s="167" t="n">
        <v>0.1125</v>
      </c>
      <c r="D13" s="167" t="n">
        <v>0.5033</v>
      </c>
      <c r="E13" s="167" t="n">
        <v>0.9895</v>
      </c>
      <c r="F13" s="167" t="n">
        <v>0.8159</v>
      </c>
      <c r="G13" s="167" t="n">
        <v>0.702</v>
      </c>
      <c r="H13" s="167" t="n">
        <v>0.4301</v>
      </c>
      <c r="I13" s="167" t="n">
        <v>0.6329</v>
      </c>
      <c r="J13" s="167" t="n">
        <v>0.7744</v>
      </c>
      <c r="K13" s="167" t="n">
        <v>0.8292</v>
      </c>
      <c r="L13" s="167" t="n">
        <v>0.6929</v>
      </c>
      <c r="M13" s="167" t="n">
        <v>0.6204</v>
      </c>
      <c r="N13" s="171" t="n">
        <v>0.6687</v>
      </c>
      <c r="O13" s="100" t="s">
        <v>543</v>
      </c>
      <c r="P13" s="168" t="s">
        <v>541</v>
      </c>
    </row>
    <row r="14" customFormat="false" ht="24" hidden="false" customHeight="true" outlineLevel="0" collapsed="false">
      <c r="A14" s="38" t="s">
        <v>36</v>
      </c>
      <c r="B14" s="169" t="n">
        <v>0.6434</v>
      </c>
      <c r="C14" s="169" t="n">
        <v>0.8239</v>
      </c>
      <c r="D14" s="169" t="n">
        <v>0.6946</v>
      </c>
      <c r="E14" s="169" t="n">
        <v>0.9264</v>
      </c>
      <c r="F14" s="169" t="n">
        <v>0.8381</v>
      </c>
      <c r="G14" s="169" t="n">
        <v>0.8869</v>
      </c>
      <c r="H14" s="169" t="n">
        <v>0.5986</v>
      </c>
      <c r="I14" s="169" t="n">
        <v>0.8712</v>
      </c>
      <c r="J14" s="169" t="n">
        <v>0.9973</v>
      </c>
      <c r="K14" s="169" t="n">
        <v>0.7427</v>
      </c>
      <c r="L14" s="169" t="n">
        <v>0.9767</v>
      </c>
      <c r="M14" s="169" t="n">
        <v>0.9713</v>
      </c>
      <c r="N14" s="160" t="n">
        <v>0.8309</v>
      </c>
      <c r="O14" s="96" t="s">
        <v>540</v>
      </c>
      <c r="P14" s="170" t="s">
        <v>541</v>
      </c>
    </row>
    <row r="15" customFormat="false" ht="24" hidden="false" customHeight="true" outlineLevel="0" collapsed="false">
      <c r="A15" s="35" t="s">
        <v>85</v>
      </c>
      <c r="B15" s="167" t="n">
        <v>0.9533</v>
      </c>
      <c r="C15" s="167" t="n">
        <v>0.7024</v>
      </c>
      <c r="D15" s="167" t="n">
        <v>0.6628</v>
      </c>
      <c r="E15" s="167" t="n">
        <v>0.7576</v>
      </c>
      <c r="F15" s="167" t="n">
        <v>0.9878</v>
      </c>
      <c r="G15" s="167" t="n">
        <v>0.6137</v>
      </c>
      <c r="H15" s="167" t="n">
        <v>0.7777</v>
      </c>
      <c r="I15" s="167" t="n">
        <v>0.6085</v>
      </c>
      <c r="J15" s="167" t="n">
        <v>0.7922</v>
      </c>
      <c r="K15" s="167" t="n">
        <v>0.7724</v>
      </c>
      <c r="L15" s="167" t="n">
        <v>0.7207</v>
      </c>
      <c r="M15" s="167" t="n">
        <v>0.7103</v>
      </c>
      <c r="N15" s="171" t="n">
        <v>0.755</v>
      </c>
      <c r="O15" s="100" t="s">
        <v>543</v>
      </c>
      <c r="P15" s="168" t="s">
        <v>544</v>
      </c>
    </row>
    <row r="16" customFormat="false" ht="24" hidden="false" customHeight="true" outlineLevel="0" collapsed="false">
      <c r="A16" s="38" t="s">
        <v>76</v>
      </c>
      <c r="B16" s="169" t="n">
        <v>0.7026</v>
      </c>
      <c r="C16" s="169" t="n">
        <v>0.318</v>
      </c>
      <c r="D16" s="169" t="n">
        <v>0.6337</v>
      </c>
      <c r="E16" s="169" t="n">
        <v>0.6189</v>
      </c>
      <c r="F16" s="169" t="n">
        <v>0.6398</v>
      </c>
      <c r="G16" s="169" t="n">
        <v>0.3857</v>
      </c>
      <c r="H16" s="169" t="n">
        <v>0.953</v>
      </c>
      <c r="I16" s="169" t="n">
        <v>0.5207</v>
      </c>
      <c r="J16" s="169" t="n">
        <v>0.5982</v>
      </c>
      <c r="K16" s="169" t="n">
        <v>0.5842</v>
      </c>
      <c r="L16" s="169" t="n">
        <v>0.6963</v>
      </c>
      <c r="M16" s="169" t="n">
        <v>0.5946</v>
      </c>
      <c r="N16" s="172" t="n">
        <v>0.6038</v>
      </c>
      <c r="O16" s="96" t="s">
        <v>543</v>
      </c>
      <c r="P16" s="170" t="s">
        <v>541</v>
      </c>
    </row>
    <row r="18" customFormat="false" ht="15" hidden="false" customHeight="true" outlineLevel="0" collapsed="false">
      <c r="A18" s="173" t="s">
        <v>545</v>
      </c>
      <c r="B18" s="173"/>
      <c r="C18" s="173"/>
      <c r="D18" s="173"/>
    </row>
    <row r="19" customFormat="false" ht="15" hidden="false" customHeight="false" outlineLevel="0" collapsed="false">
      <c r="A19" s="152" t="s">
        <v>440</v>
      </c>
      <c r="B19" s="152" t="s">
        <v>546</v>
      </c>
      <c r="C19" s="152" t="s">
        <v>547</v>
      </c>
    </row>
    <row r="20" customFormat="false" ht="18" hidden="false" customHeight="true" outlineLevel="0" collapsed="false">
      <c r="A20" s="157" t="s">
        <v>449</v>
      </c>
      <c r="B20" s="174" t="n">
        <v>0.8015</v>
      </c>
    </row>
    <row r="21" customFormat="false" ht="18" hidden="false" customHeight="true" outlineLevel="0" collapsed="false">
      <c r="A21" s="157" t="s">
        <v>452</v>
      </c>
      <c r="B21" s="174" t="n">
        <v>0.6822</v>
      </c>
    </row>
    <row r="22" customFormat="false" ht="18" hidden="false" customHeight="true" outlineLevel="0" collapsed="false">
      <c r="A22" s="157" t="s">
        <v>455</v>
      </c>
      <c r="B22" s="174" t="n">
        <v>0.662</v>
      </c>
    </row>
    <row r="23" customFormat="false" ht="18" hidden="false" customHeight="true" outlineLevel="0" collapsed="false">
      <c r="A23" s="157" t="s">
        <v>458</v>
      </c>
      <c r="B23" s="174" t="n">
        <v>0.778</v>
      </c>
    </row>
    <row r="24" customFormat="false" ht="18" hidden="false" customHeight="true" outlineLevel="0" collapsed="false">
      <c r="A24" s="157" t="s">
        <v>461</v>
      </c>
      <c r="B24" s="174" t="n">
        <v>0.8555</v>
      </c>
    </row>
    <row r="25" customFormat="false" ht="18" hidden="false" customHeight="true" outlineLevel="0" collapsed="false">
      <c r="A25" s="157" t="s">
        <v>464</v>
      </c>
      <c r="B25" s="174" t="n">
        <v>0.7485</v>
      </c>
    </row>
    <row r="26" customFormat="false" ht="18" hidden="false" customHeight="true" outlineLevel="0" collapsed="false">
      <c r="A26" s="157" t="s">
        <v>467</v>
      </c>
      <c r="B26" s="174" t="n">
        <v>0.7141</v>
      </c>
    </row>
    <row r="27" customFormat="false" ht="18" hidden="false" customHeight="true" outlineLevel="0" collapsed="false">
      <c r="A27" s="157" t="s">
        <v>469</v>
      </c>
      <c r="B27" s="174" t="n">
        <v>0.7481</v>
      </c>
    </row>
    <row r="28" customFormat="false" ht="18" hidden="false" customHeight="true" outlineLevel="0" collapsed="false">
      <c r="A28" s="157" t="s">
        <v>472</v>
      </c>
      <c r="B28" s="174" t="n">
        <v>0.8148</v>
      </c>
    </row>
    <row r="29" customFormat="false" ht="18" hidden="false" customHeight="true" outlineLevel="0" collapsed="false">
      <c r="A29" s="157" t="s">
        <v>475</v>
      </c>
      <c r="B29" s="174" t="n">
        <v>0.7867</v>
      </c>
    </row>
    <row r="30" customFormat="false" ht="18" hidden="false" customHeight="true" outlineLevel="0" collapsed="false">
      <c r="A30" s="157" t="s">
        <v>476</v>
      </c>
      <c r="B30" s="174" t="n">
        <v>0.7878</v>
      </c>
    </row>
    <row r="31" customFormat="false" ht="18" hidden="false" customHeight="true" outlineLevel="0" collapsed="false">
      <c r="A31" s="157" t="s">
        <v>477</v>
      </c>
      <c r="B31" s="174" t="n">
        <v>0.7988</v>
      </c>
    </row>
  </sheetData>
  <mergeCells count="6">
    <mergeCell ref="A1:O1"/>
    <mergeCell ref="A2:O2"/>
    <mergeCell ref="A4:C4"/>
    <mergeCell ref="A5:B5"/>
    <mergeCell ref="A7:P7"/>
    <mergeCell ref="A18:D18"/>
  </mergeCells>
  <conditionalFormatting sqref="B9:M16">
    <cfRule type="colorScale" priority="2">
      <colorScale>
        <cfvo type="num" val="0"/>
        <cfvo type="num" val="0.7"/>
        <cfvo type="num" val="1"/>
        <color rgb="FFFF4444"/>
        <color rgb="FFFFD700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5" min="4" style="1" width="10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10" min="9" style="1" width="16"/>
  </cols>
  <sheetData>
    <row r="1" customFormat="false" ht="37.5" hidden="false" customHeight="true" outlineLevel="0" collapsed="false">
      <c r="A1" s="2" t="s">
        <v>548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9.5" hidden="false" customHeight="true" outlineLevel="0" collapsed="false">
      <c r="A2" s="3" t="s">
        <v>549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7.5" hidden="false" customHeight="true" outlineLevel="0" collapsed="false"/>
    <row r="4" customFormat="false" ht="25.5" hidden="false" customHeight="true" outlineLevel="0" collapsed="false">
      <c r="A4" s="33" t="s">
        <v>550</v>
      </c>
      <c r="B4" s="33"/>
      <c r="C4" s="33"/>
      <c r="D4" s="33"/>
      <c r="E4" s="33"/>
      <c r="F4" s="33"/>
      <c r="G4" s="33"/>
      <c r="H4" s="33"/>
      <c r="I4" s="33"/>
    </row>
    <row r="5" customFormat="false" ht="27.75" hidden="false" customHeight="true" outlineLevel="0" collapsed="false">
      <c r="A5" s="53" t="s">
        <v>5</v>
      </c>
      <c r="B5" s="53" t="s">
        <v>551</v>
      </c>
      <c r="C5" s="53" t="s">
        <v>552</v>
      </c>
      <c r="D5" s="53" t="s">
        <v>553</v>
      </c>
      <c r="E5" s="53" t="s">
        <v>27</v>
      </c>
      <c r="F5" s="53" t="s">
        <v>31</v>
      </c>
      <c r="G5" s="53" t="s">
        <v>554</v>
      </c>
      <c r="H5" s="53" t="s">
        <v>555</v>
      </c>
      <c r="I5" s="53" t="s">
        <v>76</v>
      </c>
    </row>
    <row r="6" customFormat="false" ht="21.75" hidden="false" customHeight="true" outlineLevel="0" collapsed="false">
      <c r="A6" s="38" t="s">
        <v>52</v>
      </c>
      <c r="B6" s="175" t="n">
        <v>1</v>
      </c>
      <c r="C6" s="176" t="n">
        <v>0.1426</v>
      </c>
      <c r="D6" s="177" t="n">
        <v>-0.1049</v>
      </c>
      <c r="E6" s="87" t="n">
        <v>0.5841</v>
      </c>
      <c r="F6" s="112" t="n">
        <v>-0.6888</v>
      </c>
      <c r="G6" s="177" t="n">
        <v>-0.2733</v>
      </c>
      <c r="H6" s="176" t="n">
        <v>0.2436</v>
      </c>
      <c r="I6" s="177" t="n">
        <v>-0.1302</v>
      </c>
    </row>
    <row r="7" customFormat="false" ht="21.75" hidden="false" customHeight="true" outlineLevel="0" collapsed="false">
      <c r="A7" s="38" t="s">
        <v>41</v>
      </c>
      <c r="B7" s="176" t="n">
        <v>0.1426</v>
      </c>
      <c r="C7" s="175" t="n">
        <v>1</v>
      </c>
      <c r="D7" s="178" t="n">
        <v>-0.3385</v>
      </c>
      <c r="E7" s="176" t="n">
        <v>0.2069</v>
      </c>
      <c r="F7" s="177" t="n">
        <v>-0.1636</v>
      </c>
      <c r="G7" s="176" t="n">
        <v>0.0048</v>
      </c>
      <c r="H7" s="179" t="n">
        <v>0.3358</v>
      </c>
      <c r="I7" s="178" t="n">
        <v>-0.4021</v>
      </c>
    </row>
    <row r="8" customFormat="false" ht="21.75" hidden="false" customHeight="true" outlineLevel="0" collapsed="false">
      <c r="A8" s="38" t="s">
        <v>20</v>
      </c>
      <c r="B8" s="177" t="n">
        <v>-0.1049</v>
      </c>
      <c r="C8" s="178" t="n">
        <v>-0.3385</v>
      </c>
      <c r="D8" s="175" t="n">
        <v>1</v>
      </c>
      <c r="E8" s="176" t="n">
        <v>0.0552</v>
      </c>
      <c r="F8" s="176" t="n">
        <v>0.2009</v>
      </c>
      <c r="G8" s="176" t="n">
        <v>0.28</v>
      </c>
      <c r="H8" s="178" t="n">
        <v>-0.3591</v>
      </c>
      <c r="I8" s="177" t="n">
        <v>-0.1267</v>
      </c>
    </row>
    <row r="9" customFormat="false" ht="21.75" hidden="false" customHeight="true" outlineLevel="0" collapsed="false">
      <c r="A9" s="38" t="s">
        <v>27</v>
      </c>
      <c r="B9" s="87" t="n">
        <v>0.5841</v>
      </c>
      <c r="C9" s="176" t="n">
        <v>0.2069</v>
      </c>
      <c r="D9" s="176" t="n">
        <v>0.0552</v>
      </c>
      <c r="E9" s="175" t="n">
        <v>1</v>
      </c>
      <c r="F9" s="178" t="n">
        <v>-0.4519</v>
      </c>
      <c r="G9" s="177" t="n">
        <v>-0.255</v>
      </c>
      <c r="H9" s="177" t="n">
        <v>-0.003</v>
      </c>
      <c r="I9" s="176" t="n">
        <v>0.1082</v>
      </c>
    </row>
    <row r="10" customFormat="false" ht="21.75" hidden="false" customHeight="true" outlineLevel="0" collapsed="false">
      <c r="A10" s="38" t="s">
        <v>31</v>
      </c>
      <c r="B10" s="112" t="n">
        <v>-0.6888</v>
      </c>
      <c r="C10" s="177" t="n">
        <v>-0.1636</v>
      </c>
      <c r="D10" s="176" t="n">
        <v>0.2009</v>
      </c>
      <c r="E10" s="178" t="n">
        <v>-0.4519</v>
      </c>
      <c r="F10" s="175" t="n">
        <v>1</v>
      </c>
      <c r="G10" s="176" t="n">
        <v>0.0036</v>
      </c>
      <c r="H10" s="177" t="n">
        <v>-0.078</v>
      </c>
      <c r="I10" s="177" t="n">
        <v>-0.037</v>
      </c>
    </row>
    <row r="11" customFormat="false" ht="21.75" hidden="false" customHeight="true" outlineLevel="0" collapsed="false">
      <c r="A11" s="38" t="s">
        <v>36</v>
      </c>
      <c r="B11" s="177" t="n">
        <v>-0.2733</v>
      </c>
      <c r="C11" s="176" t="n">
        <v>0.0048</v>
      </c>
      <c r="D11" s="176" t="n">
        <v>0.28</v>
      </c>
      <c r="E11" s="177" t="n">
        <v>-0.255</v>
      </c>
      <c r="F11" s="176" t="n">
        <v>0.0036</v>
      </c>
      <c r="G11" s="175" t="n">
        <v>1</v>
      </c>
      <c r="H11" s="177" t="n">
        <v>-0.2098</v>
      </c>
      <c r="I11" s="176" t="n">
        <v>0.1911</v>
      </c>
    </row>
    <row r="12" customFormat="false" ht="21.75" hidden="false" customHeight="true" outlineLevel="0" collapsed="false">
      <c r="A12" s="38" t="s">
        <v>85</v>
      </c>
      <c r="B12" s="176" t="n">
        <v>0.2436</v>
      </c>
      <c r="C12" s="179" t="n">
        <v>0.3358</v>
      </c>
      <c r="D12" s="178" t="n">
        <v>-0.3591</v>
      </c>
      <c r="E12" s="177" t="n">
        <v>-0.003</v>
      </c>
      <c r="F12" s="177" t="n">
        <v>-0.078</v>
      </c>
      <c r="G12" s="177" t="n">
        <v>-0.2098</v>
      </c>
      <c r="H12" s="175" t="n">
        <v>1</v>
      </c>
      <c r="I12" s="178" t="n">
        <v>-0.4387</v>
      </c>
    </row>
    <row r="13" customFormat="false" ht="21.75" hidden="false" customHeight="true" outlineLevel="0" collapsed="false">
      <c r="A13" s="38" t="s">
        <v>76</v>
      </c>
      <c r="B13" s="177" t="n">
        <v>-0.1302</v>
      </c>
      <c r="C13" s="178" t="n">
        <v>-0.4021</v>
      </c>
      <c r="D13" s="177" t="n">
        <v>-0.1267</v>
      </c>
      <c r="E13" s="176" t="n">
        <v>0.1082</v>
      </c>
      <c r="F13" s="177" t="n">
        <v>-0.037</v>
      </c>
      <c r="G13" s="176" t="n">
        <v>0.1911</v>
      </c>
      <c r="H13" s="178" t="n">
        <v>-0.4387</v>
      </c>
      <c r="I13" s="175" t="n">
        <v>1</v>
      </c>
    </row>
    <row r="15" customFormat="false" ht="25.5" hidden="false" customHeight="true" outlineLevel="0" collapsed="false">
      <c r="A15" s="33" t="s">
        <v>556</v>
      </c>
      <c r="B15" s="33"/>
      <c r="C15" s="33"/>
      <c r="D15" s="33"/>
      <c r="E15" s="33"/>
      <c r="F15" s="33"/>
      <c r="G15" s="33"/>
      <c r="H15" s="33"/>
      <c r="I15" s="33"/>
      <c r="J15" s="33"/>
    </row>
    <row r="16" customFormat="false" ht="30" hidden="false" customHeight="true" outlineLevel="0" collapsed="false">
      <c r="A16" s="37" t="s">
        <v>5</v>
      </c>
      <c r="B16" s="37" t="s">
        <v>557</v>
      </c>
      <c r="C16" s="37" t="s">
        <v>558</v>
      </c>
      <c r="D16" s="37" t="s">
        <v>559</v>
      </c>
      <c r="E16" s="37" t="s">
        <v>560</v>
      </c>
      <c r="F16" s="37" t="s">
        <v>397</v>
      </c>
      <c r="G16" s="37" t="s">
        <v>561</v>
      </c>
      <c r="H16" s="37" t="s">
        <v>562</v>
      </c>
      <c r="I16" s="37" t="s">
        <v>563</v>
      </c>
      <c r="J16" s="37" t="s">
        <v>564</v>
      </c>
    </row>
    <row r="17" customFormat="false" ht="21.75" hidden="false" customHeight="true" outlineLevel="0" collapsed="false">
      <c r="A17" s="35" t="s">
        <v>52</v>
      </c>
      <c r="B17" s="101" t="n">
        <v>953.09</v>
      </c>
      <c r="C17" s="180" t="n">
        <v>-7.38</v>
      </c>
      <c r="D17" s="14" t="n">
        <v>0.0383</v>
      </c>
      <c r="E17" s="14" t="n">
        <v>-0.1958</v>
      </c>
      <c r="F17" s="46" t="n">
        <v>0.541974</v>
      </c>
      <c r="G17" s="181" t="s">
        <v>565</v>
      </c>
      <c r="H17" s="162" t="n">
        <v>-7.38</v>
      </c>
      <c r="I17" s="12" t="n">
        <v>-33.44</v>
      </c>
      <c r="J17" s="12" t="n">
        <v>18.67</v>
      </c>
    </row>
    <row r="18" customFormat="false" ht="21.75" hidden="false" customHeight="true" outlineLevel="0" collapsed="false">
      <c r="A18" s="38" t="s">
        <v>41</v>
      </c>
      <c r="B18" s="97" t="n">
        <v>2031.7</v>
      </c>
      <c r="C18" s="182" t="n">
        <v>45.72</v>
      </c>
      <c r="D18" s="24" t="n">
        <v>0.1498</v>
      </c>
      <c r="E18" s="24" t="n">
        <v>0.3871</v>
      </c>
      <c r="F18" s="41" t="n">
        <v>0.213876</v>
      </c>
      <c r="G18" s="183" t="s">
        <v>565</v>
      </c>
      <c r="H18" s="184" t="n">
        <v>45.72</v>
      </c>
      <c r="I18" s="22" t="n">
        <v>-31.02</v>
      </c>
      <c r="J18" s="22" t="n">
        <v>122.47</v>
      </c>
    </row>
    <row r="19" customFormat="false" ht="21.75" hidden="false" customHeight="true" outlineLevel="0" collapsed="false">
      <c r="A19" s="35" t="s">
        <v>20</v>
      </c>
      <c r="B19" s="101" t="n">
        <v>413.27</v>
      </c>
      <c r="C19" s="180" t="n">
        <v>-1.24</v>
      </c>
      <c r="D19" s="14" t="n">
        <v>0.0015</v>
      </c>
      <c r="E19" s="14" t="n">
        <v>-0.0388</v>
      </c>
      <c r="F19" s="46" t="n">
        <v>0.904662</v>
      </c>
      <c r="G19" s="181" t="s">
        <v>565</v>
      </c>
      <c r="H19" s="162" t="n">
        <v>-1.24</v>
      </c>
      <c r="I19" s="12" t="n">
        <v>-23.75</v>
      </c>
      <c r="J19" s="12" t="n">
        <v>21.27</v>
      </c>
    </row>
    <row r="20" customFormat="false" ht="21.75" hidden="false" customHeight="true" outlineLevel="0" collapsed="false">
      <c r="A20" s="38" t="s">
        <v>27</v>
      </c>
      <c r="B20" s="97" t="n">
        <v>617.87</v>
      </c>
      <c r="C20" s="182" t="n">
        <v>12.59</v>
      </c>
      <c r="D20" s="24" t="n">
        <v>0.0508</v>
      </c>
      <c r="E20" s="24" t="n">
        <v>0.2254</v>
      </c>
      <c r="F20" s="41" t="n">
        <v>0.481132</v>
      </c>
      <c r="G20" s="183" t="s">
        <v>565</v>
      </c>
      <c r="H20" s="184" t="n">
        <v>12.59</v>
      </c>
      <c r="I20" s="22" t="n">
        <v>-25.74</v>
      </c>
      <c r="J20" s="22" t="n">
        <v>50.91</v>
      </c>
    </row>
    <row r="21" customFormat="false" ht="21.75" hidden="false" customHeight="true" outlineLevel="0" collapsed="false">
      <c r="A21" s="35" t="s">
        <v>31</v>
      </c>
      <c r="B21" s="101" t="n">
        <v>376.97</v>
      </c>
      <c r="C21" s="180" t="n">
        <v>-10.97</v>
      </c>
      <c r="D21" s="14" t="n">
        <v>0.1193</v>
      </c>
      <c r="E21" s="14" t="n">
        <v>-0.3454</v>
      </c>
      <c r="F21" s="46" t="n">
        <v>0.271546</v>
      </c>
      <c r="G21" s="181" t="s">
        <v>565</v>
      </c>
      <c r="H21" s="162" t="n">
        <v>-10.97</v>
      </c>
      <c r="I21" s="12" t="n">
        <v>-31.98</v>
      </c>
      <c r="J21" s="12" t="n">
        <v>10.03</v>
      </c>
    </row>
    <row r="22" customFormat="false" ht="21.75" hidden="false" customHeight="true" outlineLevel="0" collapsed="false">
      <c r="A22" s="38" t="s">
        <v>36</v>
      </c>
      <c r="B22" s="97" t="n">
        <v>290.22</v>
      </c>
      <c r="C22" s="182" t="n">
        <v>7.56</v>
      </c>
      <c r="D22" s="24" t="n">
        <v>0.1925</v>
      </c>
      <c r="E22" s="24" t="n">
        <v>0.4387</v>
      </c>
      <c r="F22" s="41" t="n">
        <v>0.153627</v>
      </c>
      <c r="G22" s="183" t="s">
        <v>565</v>
      </c>
      <c r="H22" s="184" t="n">
        <v>7.56</v>
      </c>
      <c r="I22" s="22" t="n">
        <v>-3.35</v>
      </c>
      <c r="J22" s="22" t="n">
        <v>18.47</v>
      </c>
    </row>
    <row r="23" customFormat="false" ht="21.75" hidden="false" customHeight="true" outlineLevel="0" collapsed="false">
      <c r="A23" s="35" t="s">
        <v>85</v>
      </c>
      <c r="B23" s="101" t="n">
        <v>2237.46</v>
      </c>
      <c r="C23" s="180" t="n">
        <v>-10.73</v>
      </c>
      <c r="D23" s="14" t="n">
        <v>0.004</v>
      </c>
      <c r="E23" s="14" t="n">
        <v>-0.0632</v>
      </c>
      <c r="F23" s="46" t="n">
        <v>0.845334</v>
      </c>
      <c r="G23" s="181" t="s">
        <v>565</v>
      </c>
      <c r="H23" s="162" t="n">
        <v>-10.73</v>
      </c>
      <c r="I23" s="12" t="n">
        <v>-130.18</v>
      </c>
      <c r="J23" s="12" t="n">
        <v>108.72</v>
      </c>
    </row>
    <row r="24" customFormat="false" ht="21.75" hidden="false" customHeight="true" outlineLevel="0" collapsed="false">
      <c r="A24" s="38" t="s">
        <v>76</v>
      </c>
      <c r="B24" s="97" t="n">
        <v>237.62</v>
      </c>
      <c r="C24" s="182" t="n">
        <v>2.77</v>
      </c>
      <c r="D24" s="24" t="n">
        <v>0.0064</v>
      </c>
      <c r="E24" s="24" t="n">
        <v>0.08</v>
      </c>
      <c r="F24" s="41" t="n">
        <v>0.804784</v>
      </c>
      <c r="G24" s="183" t="s">
        <v>565</v>
      </c>
      <c r="H24" s="184" t="n">
        <v>2.77</v>
      </c>
      <c r="I24" s="22" t="n">
        <v>-21.52</v>
      </c>
      <c r="J24" s="22" t="n">
        <v>27.05</v>
      </c>
    </row>
  </sheetData>
  <mergeCells count="4">
    <mergeCell ref="A1:R1"/>
    <mergeCell ref="A2:R2"/>
    <mergeCell ref="A4:I4"/>
    <mergeCell ref="A15:J15"/>
  </mergeCells>
  <conditionalFormatting sqref="B6:I13">
    <cfRule type="colorScale" priority="2">
      <colorScale>
        <cfvo type="num" val="-1"/>
        <cfvo type="num" val="0"/>
        <cfvo type="num" val="1"/>
        <color rgb="FFFF4444"/>
        <color rgb="FFFFFFFF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6" min="3" style="1" width="16"/>
    <col collapsed="false" customWidth="true" hidden="false" outlineLevel="0" max="7" min="7" style="1" width="18"/>
    <col collapsed="false" customWidth="true" hidden="false" outlineLevel="0" max="9" min="8" style="1" width="16"/>
    <col collapsed="false" customWidth="true" hidden="false" outlineLevel="0" max="10" min="10" style="1" width="12"/>
    <col collapsed="false" customWidth="true" hidden="false" outlineLevel="0" max="11" min="11" style="1" width="14"/>
  </cols>
  <sheetData>
    <row r="1" customFormat="false" ht="37.5" hidden="false" customHeight="true" outlineLevel="0" collapsed="false">
      <c r="A1" s="2" t="s">
        <v>566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9.5" hidden="false" customHeight="true" outlineLevel="0" collapsed="false">
      <c r="A2" s="3" t="s">
        <v>567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7.5" hidden="false" customHeight="true" outlineLevel="0" collapsed="false"/>
    <row r="4" customFormat="false" ht="25.5" hidden="false" customHeight="true" outlineLevel="0" collapsed="false">
      <c r="A4" s="33" t="s">
        <v>568</v>
      </c>
      <c r="B4" s="33"/>
      <c r="C4" s="33"/>
      <c r="D4" s="33"/>
    </row>
    <row r="5" customFormat="false" ht="21.75" hidden="false" customHeight="true" outlineLevel="0" collapsed="false">
      <c r="A5" s="38" t="s">
        <v>569</v>
      </c>
      <c r="B5" s="185" t="n">
        <v>0.005</v>
      </c>
    </row>
    <row r="6" customFormat="false" ht="21.75" hidden="false" customHeight="true" outlineLevel="0" collapsed="false">
      <c r="A6" s="38" t="s">
        <v>570</v>
      </c>
      <c r="B6" s="186" t="n">
        <v>0.05</v>
      </c>
    </row>
    <row r="7" customFormat="false" ht="21.75" hidden="false" customHeight="true" outlineLevel="0" collapsed="false">
      <c r="A7" s="38" t="s">
        <v>571</v>
      </c>
      <c r="B7" s="186" t="n">
        <v>0.2</v>
      </c>
    </row>
    <row r="8" customFormat="false" ht="21.75" hidden="false" customHeight="true" outlineLevel="0" collapsed="false">
      <c r="A8" s="38" t="s">
        <v>572</v>
      </c>
      <c r="B8" s="187" t="n">
        <v>24</v>
      </c>
    </row>
    <row r="10" customFormat="false" ht="25.5" hidden="false" customHeight="true" outlineLevel="0" collapsed="false">
      <c r="A10" s="33" t="s">
        <v>573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</row>
    <row r="11" customFormat="false" ht="30" hidden="false" customHeight="true" outlineLevel="0" collapsed="false">
      <c r="A11" s="37" t="s">
        <v>440</v>
      </c>
      <c r="B11" s="37" t="s">
        <v>574</v>
      </c>
      <c r="C11" s="37" t="s">
        <v>575</v>
      </c>
      <c r="D11" s="37" t="s">
        <v>576</v>
      </c>
      <c r="E11" s="37" t="s">
        <v>577</v>
      </c>
      <c r="F11" s="37" t="s">
        <v>578</v>
      </c>
      <c r="G11" s="37" t="s">
        <v>579</v>
      </c>
      <c r="H11" s="37" t="s">
        <v>470</v>
      </c>
      <c r="I11" s="37" t="s">
        <v>473</v>
      </c>
      <c r="J11" s="37" t="s">
        <v>580</v>
      </c>
      <c r="K11" s="37" t="s">
        <v>521</v>
      </c>
    </row>
    <row r="12" customFormat="false" ht="19.5" hidden="false" customHeight="true" outlineLevel="0" collapsed="false">
      <c r="A12" s="96" t="n">
        <v>1</v>
      </c>
      <c r="B12" s="55" t="s">
        <v>581</v>
      </c>
      <c r="C12" s="97" t="n">
        <v>9556.71</v>
      </c>
      <c r="D12" s="97" t="n">
        <v>7407.22</v>
      </c>
      <c r="E12" s="97" t="n">
        <v>7444.25</v>
      </c>
      <c r="F12" s="188" t="n">
        <v>2112.46</v>
      </c>
      <c r="G12" s="189" t="n">
        <v>2112.46</v>
      </c>
      <c r="H12" s="97" t="n">
        <v>5920.22</v>
      </c>
      <c r="I12" s="97" t="n">
        <v>8968.28</v>
      </c>
      <c r="J12" s="190" t="n">
        <v>0.33</v>
      </c>
      <c r="K12" s="55" t="s">
        <v>582</v>
      </c>
    </row>
    <row r="13" customFormat="false" ht="19.5" hidden="false" customHeight="true" outlineLevel="0" collapsed="false">
      <c r="A13" s="100" t="n">
        <v>2</v>
      </c>
      <c r="B13" s="99" t="s">
        <v>583</v>
      </c>
      <c r="C13" s="101" t="n">
        <v>9595.64</v>
      </c>
      <c r="D13" s="101" t="n">
        <v>7407.22</v>
      </c>
      <c r="E13" s="101" t="n">
        <v>7481.48</v>
      </c>
      <c r="F13" s="180" t="n">
        <v>2114.16</v>
      </c>
      <c r="G13" s="191" t="n">
        <v>4226.62</v>
      </c>
      <c r="H13" s="101" t="n">
        <v>5957.45</v>
      </c>
      <c r="I13" s="101" t="n">
        <v>9005.51</v>
      </c>
      <c r="J13" s="192" t="n">
        <v>0.33</v>
      </c>
      <c r="K13" s="99" t="s">
        <v>582</v>
      </c>
    </row>
    <row r="14" customFormat="false" ht="19.5" hidden="false" customHeight="true" outlineLevel="0" collapsed="false">
      <c r="A14" s="96" t="n">
        <v>3</v>
      </c>
      <c r="B14" s="55" t="s">
        <v>584</v>
      </c>
      <c r="C14" s="97" t="n">
        <v>9634.74</v>
      </c>
      <c r="D14" s="97" t="n">
        <v>7407.22</v>
      </c>
      <c r="E14" s="97" t="n">
        <v>7518.88</v>
      </c>
      <c r="F14" s="188" t="n">
        <v>2115.86</v>
      </c>
      <c r="G14" s="189" t="n">
        <v>6342.48</v>
      </c>
      <c r="H14" s="97" t="n">
        <v>5994.85</v>
      </c>
      <c r="I14" s="97" t="n">
        <v>9042.91</v>
      </c>
      <c r="J14" s="190" t="n">
        <v>0.33</v>
      </c>
      <c r="K14" s="55" t="s">
        <v>582</v>
      </c>
    </row>
    <row r="15" customFormat="false" ht="19.5" hidden="false" customHeight="true" outlineLevel="0" collapsed="false">
      <c r="A15" s="100" t="n">
        <v>4</v>
      </c>
      <c r="B15" s="99" t="s">
        <v>585</v>
      </c>
      <c r="C15" s="101" t="n">
        <v>9673.99</v>
      </c>
      <c r="D15" s="101" t="n">
        <v>7407.22</v>
      </c>
      <c r="E15" s="101" t="n">
        <v>7556.48</v>
      </c>
      <c r="F15" s="180" t="n">
        <v>2117.51</v>
      </c>
      <c r="G15" s="191" t="n">
        <v>8459.99</v>
      </c>
      <c r="H15" s="101" t="n">
        <v>6032.45</v>
      </c>
      <c r="I15" s="101" t="n">
        <v>9080.51</v>
      </c>
      <c r="J15" s="192" t="n">
        <v>0.32</v>
      </c>
      <c r="K15" s="99" t="s">
        <v>582</v>
      </c>
    </row>
    <row r="16" customFormat="false" ht="19.5" hidden="false" customHeight="true" outlineLevel="0" collapsed="false">
      <c r="A16" s="96" t="n">
        <v>5</v>
      </c>
      <c r="B16" s="55" t="s">
        <v>586</v>
      </c>
      <c r="C16" s="97" t="n">
        <v>9713.4</v>
      </c>
      <c r="D16" s="97" t="n">
        <v>7407.22</v>
      </c>
      <c r="E16" s="97" t="n">
        <v>7594.26</v>
      </c>
      <c r="F16" s="188" t="n">
        <v>2119.14</v>
      </c>
      <c r="G16" s="189" t="n">
        <v>10579.13</v>
      </c>
      <c r="H16" s="97" t="n">
        <v>6070.23</v>
      </c>
      <c r="I16" s="97" t="n">
        <v>9118.29</v>
      </c>
      <c r="J16" s="190" t="n">
        <v>0.32</v>
      </c>
      <c r="K16" s="55" t="s">
        <v>582</v>
      </c>
    </row>
    <row r="17" customFormat="false" ht="19.5" hidden="false" customHeight="true" outlineLevel="0" collapsed="false">
      <c r="A17" s="100" t="n">
        <v>6</v>
      </c>
      <c r="B17" s="99" t="s">
        <v>587</v>
      </c>
      <c r="C17" s="101" t="n">
        <v>9752.98</v>
      </c>
      <c r="D17" s="101" t="n">
        <v>7407.22</v>
      </c>
      <c r="E17" s="101" t="n">
        <v>7632.23</v>
      </c>
      <c r="F17" s="180" t="n">
        <v>2120.75</v>
      </c>
      <c r="G17" s="191" t="n">
        <v>12699.88</v>
      </c>
      <c r="H17" s="101" t="n">
        <v>6108.2</v>
      </c>
      <c r="I17" s="101" t="n">
        <v>9156.26</v>
      </c>
      <c r="J17" s="192" t="n">
        <v>0.32</v>
      </c>
      <c r="K17" s="99" t="s">
        <v>582</v>
      </c>
    </row>
    <row r="18" customFormat="false" ht="19.5" hidden="false" customHeight="true" outlineLevel="0" collapsed="false">
      <c r="A18" s="96" t="n">
        <v>7</v>
      </c>
      <c r="B18" s="55" t="s">
        <v>588</v>
      </c>
      <c r="C18" s="97" t="n">
        <v>9792.71</v>
      </c>
      <c r="D18" s="97" t="n">
        <v>7407.22</v>
      </c>
      <c r="E18" s="97" t="n">
        <v>7670.39</v>
      </c>
      <c r="F18" s="188" t="n">
        <v>2122.32</v>
      </c>
      <c r="G18" s="189" t="n">
        <v>14822.2</v>
      </c>
      <c r="H18" s="97" t="n">
        <v>6146.36</v>
      </c>
      <c r="I18" s="97" t="n">
        <v>9194.42</v>
      </c>
      <c r="J18" s="190" t="n">
        <v>0.32</v>
      </c>
      <c r="K18" s="55" t="s">
        <v>582</v>
      </c>
    </row>
    <row r="19" customFormat="false" ht="19.5" hidden="false" customHeight="true" outlineLevel="0" collapsed="false">
      <c r="A19" s="100" t="n">
        <v>8</v>
      </c>
      <c r="B19" s="99" t="s">
        <v>589</v>
      </c>
      <c r="C19" s="101" t="n">
        <v>9832.61</v>
      </c>
      <c r="D19" s="101" t="n">
        <v>7407.22</v>
      </c>
      <c r="E19" s="101" t="n">
        <v>7708.74</v>
      </c>
      <c r="F19" s="180" t="n">
        <v>2123.87</v>
      </c>
      <c r="G19" s="191" t="n">
        <v>16946.07</v>
      </c>
      <c r="H19" s="101" t="n">
        <v>6184.71</v>
      </c>
      <c r="I19" s="101" t="n">
        <v>9232.77</v>
      </c>
      <c r="J19" s="192" t="n">
        <v>0.32</v>
      </c>
      <c r="K19" s="99" t="s">
        <v>582</v>
      </c>
    </row>
    <row r="20" customFormat="false" ht="19.5" hidden="false" customHeight="true" outlineLevel="0" collapsed="false">
      <c r="A20" s="96" t="n">
        <v>9</v>
      </c>
      <c r="B20" s="55" t="s">
        <v>590</v>
      </c>
      <c r="C20" s="97" t="n">
        <v>9872.67</v>
      </c>
      <c r="D20" s="97" t="n">
        <v>7407.22</v>
      </c>
      <c r="E20" s="97" t="n">
        <v>7747.29</v>
      </c>
      <c r="F20" s="188" t="n">
        <v>2125.38</v>
      </c>
      <c r="G20" s="189" t="n">
        <v>19071.45</v>
      </c>
      <c r="H20" s="97" t="n">
        <v>6223.26</v>
      </c>
      <c r="I20" s="97" t="n">
        <v>9271.32</v>
      </c>
      <c r="J20" s="190" t="n">
        <v>0.31</v>
      </c>
      <c r="K20" s="55" t="s">
        <v>582</v>
      </c>
    </row>
    <row r="21" customFormat="false" ht="19.5" hidden="false" customHeight="true" outlineLevel="0" collapsed="false">
      <c r="A21" s="100" t="n">
        <v>10</v>
      </c>
      <c r="B21" s="99" t="s">
        <v>591</v>
      </c>
      <c r="C21" s="101" t="n">
        <v>9912.89</v>
      </c>
      <c r="D21" s="101" t="n">
        <v>7407.22</v>
      </c>
      <c r="E21" s="101" t="n">
        <v>7786.02</v>
      </c>
      <c r="F21" s="180" t="n">
        <v>2126.87</v>
      </c>
      <c r="G21" s="191" t="n">
        <v>21198.32</v>
      </c>
      <c r="H21" s="101" t="n">
        <v>6261.99</v>
      </c>
      <c r="I21" s="101" t="n">
        <v>9310.05</v>
      </c>
      <c r="J21" s="192" t="n">
        <v>0.31</v>
      </c>
      <c r="K21" s="99" t="s">
        <v>582</v>
      </c>
    </row>
    <row r="22" customFormat="false" ht="19.5" hidden="false" customHeight="true" outlineLevel="0" collapsed="false">
      <c r="A22" s="96" t="n">
        <v>11</v>
      </c>
      <c r="B22" s="55" t="s">
        <v>592</v>
      </c>
      <c r="C22" s="97" t="n">
        <v>9953.28</v>
      </c>
      <c r="D22" s="97" t="n">
        <v>7407.22</v>
      </c>
      <c r="E22" s="97" t="n">
        <v>7824.95</v>
      </c>
      <c r="F22" s="188" t="n">
        <v>2128.33</v>
      </c>
      <c r="G22" s="189" t="n">
        <v>23326.65</v>
      </c>
      <c r="H22" s="97" t="n">
        <v>6300.92</v>
      </c>
      <c r="I22" s="97" t="n">
        <v>9348.98</v>
      </c>
      <c r="J22" s="190" t="n">
        <v>0.31</v>
      </c>
      <c r="K22" s="55" t="s">
        <v>582</v>
      </c>
    </row>
    <row r="23" customFormat="false" ht="19.5" hidden="false" customHeight="true" outlineLevel="0" collapsed="false">
      <c r="A23" s="100" t="n">
        <v>12</v>
      </c>
      <c r="B23" s="99" t="s">
        <v>593</v>
      </c>
      <c r="C23" s="101" t="n">
        <v>9993.83</v>
      </c>
      <c r="D23" s="101" t="n">
        <v>7407.22</v>
      </c>
      <c r="E23" s="101" t="n">
        <v>7864.08</v>
      </c>
      <c r="F23" s="180" t="n">
        <v>2129.75</v>
      </c>
      <c r="G23" s="191" t="n">
        <v>25456.4</v>
      </c>
      <c r="H23" s="101" t="n">
        <v>6340.05</v>
      </c>
      <c r="I23" s="101" t="n">
        <v>9388.11</v>
      </c>
      <c r="J23" s="192" t="n">
        <v>0.31</v>
      </c>
      <c r="K23" s="99" t="s">
        <v>582</v>
      </c>
    </row>
    <row r="24" customFormat="false" ht="19.5" hidden="false" customHeight="true" outlineLevel="0" collapsed="false">
      <c r="A24" s="96" t="n">
        <v>13</v>
      </c>
      <c r="B24" s="55" t="s">
        <v>594</v>
      </c>
      <c r="C24" s="97" t="n">
        <v>10034.54</v>
      </c>
      <c r="D24" s="97" t="n">
        <v>7407.22</v>
      </c>
      <c r="E24" s="97" t="n">
        <v>7903.4</v>
      </c>
      <c r="F24" s="188" t="n">
        <v>2131.14</v>
      </c>
      <c r="G24" s="189" t="n">
        <v>27587.54</v>
      </c>
      <c r="H24" s="97" t="n">
        <v>6379.37</v>
      </c>
      <c r="I24" s="97" t="n">
        <v>9427.43</v>
      </c>
      <c r="J24" s="190" t="n">
        <v>0.31</v>
      </c>
      <c r="K24" s="55" t="s">
        <v>582</v>
      </c>
    </row>
    <row r="25" customFormat="false" ht="19.5" hidden="false" customHeight="true" outlineLevel="0" collapsed="false">
      <c r="A25" s="100" t="n">
        <v>14</v>
      </c>
      <c r="B25" s="99" t="s">
        <v>595</v>
      </c>
      <c r="C25" s="101" t="n">
        <v>10075.42</v>
      </c>
      <c r="D25" s="101" t="n">
        <v>7407.22</v>
      </c>
      <c r="E25" s="101" t="n">
        <v>7942.92</v>
      </c>
      <c r="F25" s="180" t="n">
        <v>2132.5</v>
      </c>
      <c r="G25" s="191" t="n">
        <v>29720.04</v>
      </c>
      <c r="H25" s="101" t="n">
        <v>6418.89</v>
      </c>
      <c r="I25" s="101" t="n">
        <v>9466.95</v>
      </c>
      <c r="J25" s="192" t="n">
        <v>0.3</v>
      </c>
      <c r="K25" s="99" t="s">
        <v>582</v>
      </c>
    </row>
    <row r="26" customFormat="false" ht="19.5" hidden="false" customHeight="true" outlineLevel="0" collapsed="false">
      <c r="A26" s="96" t="n">
        <v>15</v>
      </c>
      <c r="B26" s="55" t="s">
        <v>596</v>
      </c>
      <c r="C26" s="97" t="n">
        <v>10116.47</v>
      </c>
      <c r="D26" s="97" t="n">
        <v>7407.22</v>
      </c>
      <c r="E26" s="97" t="n">
        <v>7982.63</v>
      </c>
      <c r="F26" s="188" t="n">
        <v>2133.84</v>
      </c>
      <c r="G26" s="189" t="n">
        <v>31853.88</v>
      </c>
      <c r="H26" s="97" t="n">
        <v>6458.6</v>
      </c>
      <c r="I26" s="97" t="n">
        <v>9506.66</v>
      </c>
      <c r="J26" s="190" t="n">
        <v>0.3</v>
      </c>
      <c r="K26" s="55" t="s">
        <v>582</v>
      </c>
    </row>
    <row r="27" customFormat="false" ht="19.5" hidden="false" customHeight="true" outlineLevel="0" collapsed="false">
      <c r="A27" s="100" t="n">
        <v>16</v>
      </c>
      <c r="B27" s="99" t="s">
        <v>597</v>
      </c>
      <c r="C27" s="101" t="n">
        <v>10157.69</v>
      </c>
      <c r="D27" s="101" t="n">
        <v>7407.22</v>
      </c>
      <c r="E27" s="101" t="n">
        <v>8022.54</v>
      </c>
      <c r="F27" s="180" t="n">
        <v>2135.15</v>
      </c>
      <c r="G27" s="191" t="n">
        <v>33989.03</v>
      </c>
      <c r="H27" s="101" t="n">
        <v>6498.51</v>
      </c>
      <c r="I27" s="101" t="n">
        <v>9546.57</v>
      </c>
      <c r="J27" s="192" t="n">
        <v>0.3</v>
      </c>
      <c r="K27" s="99" t="s">
        <v>582</v>
      </c>
    </row>
    <row r="28" customFormat="false" ht="19.5" hidden="false" customHeight="true" outlineLevel="0" collapsed="false">
      <c r="A28" s="96" t="n">
        <v>17</v>
      </c>
      <c r="B28" s="55" t="s">
        <v>598</v>
      </c>
      <c r="C28" s="97" t="n">
        <v>10199.07</v>
      </c>
      <c r="D28" s="97" t="n">
        <v>7407.22</v>
      </c>
      <c r="E28" s="97" t="n">
        <v>8062.66</v>
      </c>
      <c r="F28" s="188" t="n">
        <v>2136.41</v>
      </c>
      <c r="G28" s="189" t="n">
        <v>36125.44</v>
      </c>
      <c r="H28" s="97" t="n">
        <v>6538.63</v>
      </c>
      <c r="I28" s="97" t="n">
        <v>9586.69</v>
      </c>
      <c r="J28" s="190" t="n">
        <v>0.3</v>
      </c>
      <c r="K28" s="55" t="s">
        <v>582</v>
      </c>
    </row>
    <row r="29" customFormat="false" ht="19.5" hidden="false" customHeight="true" outlineLevel="0" collapsed="false">
      <c r="A29" s="100" t="n">
        <v>18</v>
      </c>
      <c r="B29" s="99" t="s">
        <v>599</v>
      </c>
      <c r="C29" s="101" t="n">
        <v>10240.62</v>
      </c>
      <c r="D29" s="101" t="n">
        <v>7407.22</v>
      </c>
      <c r="E29" s="101" t="n">
        <v>8102.97</v>
      </c>
      <c r="F29" s="180" t="n">
        <v>2137.65</v>
      </c>
      <c r="G29" s="191" t="n">
        <v>38263.09</v>
      </c>
      <c r="H29" s="101" t="n">
        <v>6578.94</v>
      </c>
      <c r="I29" s="101" t="n">
        <v>9627</v>
      </c>
      <c r="J29" s="192" t="n">
        <v>0.3</v>
      </c>
      <c r="K29" s="99" t="s">
        <v>582</v>
      </c>
    </row>
    <row r="30" customFormat="false" ht="19.5" hidden="false" customHeight="true" outlineLevel="0" collapsed="false">
      <c r="A30" s="96" t="n">
        <v>19</v>
      </c>
      <c r="B30" s="55" t="s">
        <v>600</v>
      </c>
      <c r="C30" s="97" t="n">
        <v>10282.35</v>
      </c>
      <c r="D30" s="97" t="n">
        <v>7407.22</v>
      </c>
      <c r="E30" s="97" t="n">
        <v>8143.49</v>
      </c>
      <c r="F30" s="188" t="n">
        <v>2138.86</v>
      </c>
      <c r="G30" s="189" t="n">
        <v>40401.95</v>
      </c>
      <c r="H30" s="97" t="n">
        <v>6619.46</v>
      </c>
      <c r="I30" s="97" t="n">
        <v>9667.52</v>
      </c>
      <c r="J30" s="190" t="n">
        <v>0.3</v>
      </c>
      <c r="K30" s="55" t="s">
        <v>582</v>
      </c>
    </row>
    <row r="31" customFormat="false" ht="19.5" hidden="false" customHeight="true" outlineLevel="0" collapsed="false">
      <c r="A31" s="100" t="n">
        <v>20</v>
      </c>
      <c r="B31" s="99" t="s">
        <v>601</v>
      </c>
      <c r="C31" s="101" t="n">
        <v>10324.24</v>
      </c>
      <c r="D31" s="101" t="n">
        <v>7407.22</v>
      </c>
      <c r="E31" s="101" t="n">
        <v>8184.2</v>
      </c>
      <c r="F31" s="180" t="n">
        <v>2140.04</v>
      </c>
      <c r="G31" s="191" t="n">
        <v>42541.99</v>
      </c>
      <c r="H31" s="101" t="n">
        <v>6660.17</v>
      </c>
      <c r="I31" s="101" t="n">
        <v>9708.23</v>
      </c>
      <c r="J31" s="192" t="n">
        <v>0.3</v>
      </c>
      <c r="K31" s="99" t="s">
        <v>582</v>
      </c>
    </row>
    <row r="32" customFormat="false" ht="19.5" hidden="false" customHeight="true" outlineLevel="0" collapsed="false">
      <c r="A32" s="96" t="n">
        <v>21</v>
      </c>
      <c r="B32" s="55" t="s">
        <v>602</v>
      </c>
      <c r="C32" s="97" t="n">
        <v>10366.3</v>
      </c>
      <c r="D32" s="97" t="n">
        <v>7407.22</v>
      </c>
      <c r="E32" s="97" t="n">
        <v>8225.12</v>
      </c>
      <c r="F32" s="188" t="n">
        <v>2141.18</v>
      </c>
      <c r="G32" s="189" t="n">
        <v>44683.17</v>
      </c>
      <c r="H32" s="97" t="n">
        <v>6701.09</v>
      </c>
      <c r="I32" s="97" t="n">
        <v>9749.15</v>
      </c>
      <c r="J32" s="190" t="n">
        <v>0.29</v>
      </c>
      <c r="K32" s="55" t="s">
        <v>582</v>
      </c>
    </row>
    <row r="33" customFormat="false" ht="19.5" hidden="false" customHeight="true" outlineLevel="0" collapsed="false">
      <c r="A33" s="100" t="n">
        <v>22</v>
      </c>
      <c r="B33" s="99" t="s">
        <v>603</v>
      </c>
      <c r="C33" s="101" t="n">
        <v>10408.53</v>
      </c>
      <c r="D33" s="101" t="n">
        <v>7407.22</v>
      </c>
      <c r="E33" s="101" t="n">
        <v>8266.25</v>
      </c>
      <c r="F33" s="180" t="n">
        <v>2142.28</v>
      </c>
      <c r="G33" s="191" t="n">
        <v>46825.45</v>
      </c>
      <c r="H33" s="101" t="n">
        <v>6742.22</v>
      </c>
      <c r="I33" s="101" t="n">
        <v>9790.28</v>
      </c>
      <c r="J33" s="192" t="n">
        <v>0.29</v>
      </c>
      <c r="K33" s="99" t="s">
        <v>582</v>
      </c>
    </row>
    <row r="34" customFormat="false" ht="19.5" hidden="false" customHeight="true" outlineLevel="0" collapsed="false">
      <c r="A34" s="96" t="n">
        <v>23</v>
      </c>
      <c r="B34" s="55" t="s">
        <v>604</v>
      </c>
      <c r="C34" s="97" t="n">
        <v>10450.94</v>
      </c>
      <c r="D34" s="97" t="n">
        <v>7407.22</v>
      </c>
      <c r="E34" s="97" t="n">
        <v>8307.58</v>
      </c>
      <c r="F34" s="188" t="n">
        <v>2143.36</v>
      </c>
      <c r="G34" s="189" t="n">
        <v>48968.81</v>
      </c>
      <c r="H34" s="97" t="n">
        <v>6783.55</v>
      </c>
      <c r="I34" s="97" t="n">
        <v>9831.61</v>
      </c>
      <c r="J34" s="190" t="n">
        <v>0.29</v>
      </c>
      <c r="K34" s="55" t="s">
        <v>582</v>
      </c>
    </row>
    <row r="35" customFormat="false" ht="19.5" hidden="false" customHeight="true" outlineLevel="0" collapsed="false">
      <c r="A35" s="100" t="n">
        <v>24</v>
      </c>
      <c r="B35" s="99" t="s">
        <v>605</v>
      </c>
      <c r="C35" s="101" t="n">
        <v>10493.52</v>
      </c>
      <c r="D35" s="101" t="n">
        <v>7407.22</v>
      </c>
      <c r="E35" s="101" t="n">
        <v>8349.12</v>
      </c>
      <c r="F35" s="180" t="n">
        <v>2144.4</v>
      </c>
      <c r="G35" s="191" t="n">
        <v>51113.21</v>
      </c>
      <c r="H35" s="101" t="n">
        <v>6825.09</v>
      </c>
      <c r="I35" s="101" t="n">
        <v>9873.15</v>
      </c>
      <c r="J35" s="192" t="n">
        <v>0.29</v>
      </c>
      <c r="K35" s="99" t="s">
        <v>582</v>
      </c>
    </row>
  </sheetData>
  <mergeCells count="4">
    <mergeCell ref="A1:O1"/>
    <mergeCell ref="A2:O2"/>
    <mergeCell ref="A4:D4"/>
    <mergeCell ref="A10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2026-03-01T15:05:24Z</dcterms:created>
  <dc:creator>openpyxl</dc:creator>
  <dc:description/>
  <dc:language>en-US</dc:language>
  <cp:lastModifiedBy/>
  <dcterms:modified xsi:type="dcterms:W3CDTF">2026-03-01T12:13:24Z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